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青木智之\Desktop\aoki\files\2026.03 WAN-WAN BOTAN\02.舞台美術\"/>
    </mc:Choice>
  </mc:AlternateContent>
  <xr:revisionPtr revIDLastSave="0" documentId="13_ncr:1_{03BD5D08-B377-4866-9EDF-446B1532A895}" xr6:coauthVersionLast="47" xr6:coauthVersionMax="47" xr10:uidLastSave="{00000000-0000-0000-0000-000000000000}"/>
  <bookViews>
    <workbookView xWindow="28665" yWindow="-135" windowWidth="29070" windowHeight="1575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2" i="1" l="1"/>
  <c r="C103" i="1"/>
  <c r="C95" i="1"/>
  <c r="C90" i="1"/>
  <c r="C84" i="1"/>
  <c r="C78" i="1"/>
  <c r="C72" i="1"/>
  <c r="C66" i="1"/>
  <c r="C60" i="1"/>
  <c r="C50" i="1"/>
  <c r="C44" i="1"/>
  <c r="C38" i="1"/>
  <c r="C24" i="1"/>
  <c r="C23" i="1"/>
  <c r="C22" i="1"/>
  <c r="C16" i="1"/>
  <c r="C15" i="1"/>
  <c r="C11" i="1"/>
  <c r="C5" i="1"/>
</calcChain>
</file>

<file path=xl/sharedStrings.xml><?xml version="1.0" encoding="utf-8"?>
<sst xmlns="http://schemas.openxmlformats.org/spreadsheetml/2006/main" count="178" uniqueCount="60">
  <si>
    <t>ドア上部（パネル）</t>
    <rPh sb="2" eb="4">
      <t>ジョウブ</t>
    </rPh>
    <phoneticPr fontId="1"/>
  </si>
  <si>
    <t>800 * 400</t>
    <phoneticPr fontId="1"/>
  </si>
  <si>
    <t>ムツ材</t>
    <rPh sb="2" eb="3">
      <t>ザイ</t>
    </rPh>
    <phoneticPr fontId="1"/>
  </si>
  <si>
    <t>1枚</t>
    <rPh sb="1" eb="2">
      <t>マイ</t>
    </rPh>
    <phoneticPr fontId="1"/>
  </si>
  <si>
    <t>2本</t>
    <rPh sb="1" eb="2">
      <t>ホン</t>
    </rPh>
    <phoneticPr fontId="1"/>
  </si>
  <si>
    <t>ベニヤ</t>
    <phoneticPr fontId="1"/>
  </si>
  <si>
    <t>ドア枠（コの字）</t>
    <rPh sb="2" eb="3">
      <t>ワク</t>
    </rPh>
    <rPh sb="6" eb="7">
      <t>ジ</t>
    </rPh>
    <phoneticPr fontId="1"/>
  </si>
  <si>
    <t>800 * 2000</t>
    <phoneticPr fontId="1"/>
  </si>
  <si>
    <t>1枠</t>
    <rPh sb="1" eb="2">
      <t>ワク</t>
    </rPh>
    <phoneticPr fontId="1"/>
  </si>
  <si>
    <t>寸角</t>
    <rPh sb="0" eb="2">
      <t>スンカク</t>
    </rPh>
    <phoneticPr fontId="1"/>
  </si>
  <si>
    <t>1本</t>
    <rPh sb="1" eb="2">
      <t>ホン</t>
    </rPh>
    <phoneticPr fontId="1"/>
  </si>
  <si>
    <t>ドア</t>
    <phoneticPr fontId="1"/>
  </si>
  <si>
    <t>730 * 1965</t>
    <phoneticPr fontId="1"/>
  </si>
  <si>
    <t>4本</t>
    <rPh sb="1" eb="2">
      <t>ホン</t>
    </rPh>
    <phoneticPr fontId="1"/>
  </si>
  <si>
    <t>6本</t>
    <rPh sb="1" eb="2">
      <t>ホン</t>
    </rPh>
    <phoneticPr fontId="1"/>
  </si>
  <si>
    <t>窓枠（横）、取っ手</t>
    <rPh sb="0" eb="1">
      <t>マド</t>
    </rPh>
    <rPh sb="1" eb="2">
      <t>ワク</t>
    </rPh>
    <rPh sb="3" eb="4">
      <t>ヨコ</t>
    </rPh>
    <rPh sb="6" eb="7">
      <t>ト</t>
    </rPh>
    <rPh sb="8" eb="9">
      <t>テ</t>
    </rPh>
    <phoneticPr fontId="1"/>
  </si>
  <si>
    <t>窓枠（縦）</t>
    <rPh sb="0" eb="1">
      <t>マド</t>
    </rPh>
    <rPh sb="1" eb="2">
      <t>ワク</t>
    </rPh>
    <rPh sb="3" eb="4">
      <t>タテ</t>
    </rPh>
    <phoneticPr fontId="1"/>
  </si>
  <si>
    <t>窓枠（360 * 540）</t>
    <rPh sb="0" eb="2">
      <t>マドワク</t>
    </rPh>
    <phoneticPr fontId="1"/>
  </si>
  <si>
    <t>ロッカー（本体）</t>
    <rPh sb="5" eb="7">
      <t>ホンタイ</t>
    </rPh>
    <phoneticPr fontId="1"/>
  </si>
  <si>
    <t>450 * 1800 * 500</t>
    <phoneticPr fontId="1"/>
  </si>
  <si>
    <t>コンパネ</t>
    <phoneticPr fontId="1"/>
  </si>
  <si>
    <t>450 * 500</t>
    <phoneticPr fontId="1"/>
  </si>
  <si>
    <t>2枚</t>
    <rPh sb="1" eb="2">
      <t>マイ</t>
    </rPh>
    <phoneticPr fontId="1"/>
  </si>
  <si>
    <t>450 * 1800</t>
    <phoneticPr fontId="1"/>
  </si>
  <si>
    <t>500 * 1800</t>
    <phoneticPr fontId="1"/>
  </si>
  <si>
    <t>1個</t>
    <rPh sb="1" eb="2">
      <t>コ</t>
    </rPh>
    <phoneticPr fontId="1"/>
  </si>
  <si>
    <t>ロッカー（ドア）</t>
    <phoneticPr fontId="1"/>
  </si>
  <si>
    <t>380 * 1718</t>
    <phoneticPr fontId="1"/>
  </si>
  <si>
    <t>取っ手部分</t>
    <rPh sb="0" eb="1">
      <t>ト</t>
    </rPh>
    <rPh sb="2" eb="3">
      <t>テ</t>
    </rPh>
    <rPh sb="3" eb="5">
      <t>ブブン</t>
    </rPh>
    <phoneticPr fontId="1"/>
  </si>
  <si>
    <t>窓上部（パネル）</t>
    <rPh sb="0" eb="1">
      <t>マド</t>
    </rPh>
    <rPh sb="1" eb="3">
      <t>ジョウブ</t>
    </rPh>
    <phoneticPr fontId="1"/>
  </si>
  <si>
    <t>1350 * 300</t>
    <phoneticPr fontId="1"/>
  </si>
  <si>
    <t>窓下部（パネル）</t>
    <rPh sb="0" eb="1">
      <t>マド</t>
    </rPh>
    <rPh sb="1" eb="3">
      <t>カブ</t>
    </rPh>
    <phoneticPr fontId="1"/>
  </si>
  <si>
    <t>1350 * 600</t>
    <phoneticPr fontId="1"/>
  </si>
  <si>
    <t>窓枠</t>
    <rPh sb="0" eb="1">
      <t>マド</t>
    </rPh>
    <rPh sb="1" eb="2">
      <t>ワク</t>
    </rPh>
    <phoneticPr fontId="1"/>
  </si>
  <si>
    <t>窓</t>
    <rPh sb="0" eb="1">
      <t>マド</t>
    </rPh>
    <phoneticPr fontId="1"/>
  </si>
  <si>
    <t>製作方法不明</t>
    <rPh sb="0" eb="2">
      <t>セイサク</t>
    </rPh>
    <rPh sb="2" eb="4">
      <t>ホウホウ</t>
    </rPh>
    <rPh sb="4" eb="6">
      <t>フメイ</t>
    </rPh>
    <phoneticPr fontId="1"/>
  </si>
  <si>
    <t>微調整パネル①（本体）</t>
    <rPh sb="0" eb="3">
      <t>ビチョウセイ</t>
    </rPh>
    <rPh sb="8" eb="10">
      <t>ホンタイ</t>
    </rPh>
    <phoneticPr fontId="1"/>
  </si>
  <si>
    <t>225 * 1800</t>
    <phoneticPr fontId="1"/>
  </si>
  <si>
    <t>3本</t>
    <rPh sb="1" eb="2">
      <t>ホン</t>
    </rPh>
    <phoneticPr fontId="1"/>
  </si>
  <si>
    <t>微調整パネル①（上部）</t>
    <rPh sb="0" eb="3">
      <t>ビチョウセイ</t>
    </rPh>
    <rPh sb="8" eb="10">
      <t>ジョウブ</t>
    </rPh>
    <phoneticPr fontId="1"/>
  </si>
  <si>
    <t>225 * 600</t>
    <phoneticPr fontId="1"/>
  </si>
  <si>
    <t>648 * 1800</t>
    <phoneticPr fontId="1"/>
  </si>
  <si>
    <t>648 * 600</t>
    <phoneticPr fontId="1"/>
  </si>
  <si>
    <t>微調整パネル②（本体）</t>
    <rPh sb="0" eb="3">
      <t>ビチョウセイ</t>
    </rPh>
    <rPh sb="8" eb="10">
      <t>ホンタイ</t>
    </rPh>
    <phoneticPr fontId="1"/>
  </si>
  <si>
    <t>微調整パネル②（上部）</t>
    <rPh sb="0" eb="3">
      <t>ビチョウセイ</t>
    </rPh>
    <rPh sb="8" eb="10">
      <t>ジョウブ</t>
    </rPh>
    <phoneticPr fontId="1"/>
  </si>
  <si>
    <t>微調整パネル③（本体）</t>
    <rPh sb="0" eb="3">
      <t>ビチョウセイ</t>
    </rPh>
    <rPh sb="8" eb="10">
      <t>ホンタイ</t>
    </rPh>
    <phoneticPr fontId="1"/>
  </si>
  <si>
    <t>135 * 600</t>
    <phoneticPr fontId="1"/>
  </si>
  <si>
    <t>微調整パネル③（上部）</t>
    <rPh sb="0" eb="3">
      <t>ビチョウセイ</t>
    </rPh>
    <rPh sb="8" eb="10">
      <t>ジョウブ</t>
    </rPh>
    <phoneticPr fontId="1"/>
  </si>
  <si>
    <t>135 * 1800</t>
    <phoneticPr fontId="1"/>
  </si>
  <si>
    <t>スロープ</t>
    <phoneticPr fontId="1"/>
  </si>
  <si>
    <t>1000 * 900</t>
    <phoneticPr fontId="1"/>
  </si>
  <si>
    <t>1000 * 900（102 - 0）</t>
    <phoneticPr fontId="1"/>
  </si>
  <si>
    <t>2 * 4材</t>
    <rPh sb="5" eb="6">
      <t>ザイ</t>
    </rPh>
    <phoneticPr fontId="1"/>
  </si>
  <si>
    <t>微調整平台</t>
    <rPh sb="0" eb="1">
      <t>ビ</t>
    </rPh>
    <rPh sb="1" eb="3">
      <t>チョウセイ</t>
    </rPh>
    <rPh sb="3" eb="5">
      <t>ヒラダイ</t>
    </rPh>
    <phoneticPr fontId="1"/>
  </si>
  <si>
    <t>900 * 1800 * 115</t>
    <phoneticPr fontId="1"/>
  </si>
  <si>
    <t>900 * 1800</t>
    <phoneticPr fontId="1"/>
  </si>
  <si>
    <t>3本</t>
    <phoneticPr fontId="1"/>
  </si>
  <si>
    <t>1本</t>
    <phoneticPr fontId="1"/>
  </si>
  <si>
    <t>2本</t>
    <phoneticPr fontId="1"/>
  </si>
  <si>
    <t>寸角</t>
    <rPh sb="0" eb="1">
      <t>スン</t>
    </rPh>
    <rPh sb="1" eb="2">
      <t>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</si>
</sst>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mm&quot;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04"/>
  <sheetViews>
    <sheetView tabSelected="1" workbookViewId="0"/>
  </sheetViews>
  <sheetFormatPr defaultColWidth="3.69921875" defaultRowHeight="18"/>
  <cols>
    <col min="1" max="1" width="3.69921875" style="1"/>
    <col min="2" max="2" width="17.59765625" style="1" customWidth="1"/>
    <col min="3" max="3" width="17.59765625" style="6" customWidth="1"/>
    <col min="4" max="4" width="17.59765625" style="2" customWidth="1"/>
    <col min="5" max="5" width="17.59765625" style="1" customWidth="1"/>
    <col min="6" max="16384" width="3.69921875" style="1"/>
  </cols>
  <sheetData>
    <row r="2" spans="2:5">
      <c r="B2" s="7" t="s">
        <v>0</v>
      </c>
      <c r="C2" s="7"/>
      <c r="D2" s="7"/>
      <c r="E2" s="7"/>
    </row>
    <row r="3" spans="2:5">
      <c r="B3" s="7" t="s">
        <v>1</v>
      </c>
      <c r="C3" s="7"/>
      <c r="D3" s="7" t="s">
        <v>3</v>
      </c>
      <c r="E3" s="7"/>
    </row>
    <row r="4" spans="2:5">
      <c r="B4" s="3" t="s">
        <v>2</v>
      </c>
      <c r="C4" s="5">
        <v>800</v>
      </c>
      <c r="D4" s="4" t="s">
        <v>4</v>
      </c>
      <c r="E4" s="3"/>
    </row>
    <row r="5" spans="2:5">
      <c r="B5" s="3" t="s">
        <v>2</v>
      </c>
      <c r="C5" s="5">
        <f>400-32</f>
        <v>368</v>
      </c>
      <c r="D5" s="4" t="s">
        <v>4</v>
      </c>
      <c r="E5" s="3"/>
    </row>
    <row r="6" spans="2:5">
      <c r="B6" s="3" t="s">
        <v>5</v>
      </c>
      <c r="C6" s="5" t="s">
        <v>1</v>
      </c>
      <c r="D6" s="4" t="s">
        <v>3</v>
      </c>
      <c r="E6" s="3"/>
    </row>
    <row r="8" spans="2:5">
      <c r="B8" s="7" t="s">
        <v>6</v>
      </c>
      <c r="C8" s="7"/>
      <c r="D8" s="7"/>
      <c r="E8" s="7"/>
    </row>
    <row r="9" spans="2:5">
      <c r="B9" s="7" t="s">
        <v>7</v>
      </c>
      <c r="C9" s="7"/>
      <c r="D9" s="7" t="s">
        <v>8</v>
      </c>
      <c r="E9" s="7"/>
    </row>
    <row r="10" spans="2:5">
      <c r="B10" s="3" t="s">
        <v>9</v>
      </c>
      <c r="C10" s="5">
        <v>2000</v>
      </c>
      <c r="D10" s="4" t="s">
        <v>4</v>
      </c>
      <c r="E10" s="3"/>
    </row>
    <row r="11" spans="2:5">
      <c r="B11" s="3" t="s">
        <v>9</v>
      </c>
      <c r="C11" s="5">
        <f>800-70</f>
        <v>730</v>
      </c>
      <c r="D11" s="4" t="s">
        <v>10</v>
      </c>
      <c r="E11" s="3"/>
    </row>
    <row r="13" spans="2:5">
      <c r="B13" s="7" t="s">
        <v>11</v>
      </c>
      <c r="C13" s="7"/>
      <c r="D13" s="7"/>
      <c r="E13" s="7"/>
    </row>
    <row r="14" spans="2:5">
      <c r="B14" s="7" t="s">
        <v>12</v>
      </c>
      <c r="C14" s="7"/>
      <c r="D14" s="7" t="s">
        <v>3</v>
      </c>
      <c r="E14" s="7"/>
    </row>
    <row r="15" spans="2:5">
      <c r="B15" s="3" t="s">
        <v>9</v>
      </c>
      <c r="C15" s="5">
        <f>2000-35</f>
        <v>1965</v>
      </c>
      <c r="D15" s="4" t="s">
        <v>4</v>
      </c>
      <c r="E15" s="3"/>
    </row>
    <row r="16" spans="2:5">
      <c r="B16" s="3" t="s">
        <v>9</v>
      </c>
      <c r="C16" s="5">
        <f>800-70-70</f>
        <v>660</v>
      </c>
      <c r="D16" s="4" t="s">
        <v>14</v>
      </c>
      <c r="E16" s="3" t="s">
        <v>15</v>
      </c>
    </row>
    <row r="17" spans="2:5">
      <c r="B17" s="3" t="s">
        <v>9</v>
      </c>
      <c r="C17" s="5">
        <v>540</v>
      </c>
      <c r="D17" s="4" t="s">
        <v>4</v>
      </c>
      <c r="E17" s="3" t="s">
        <v>16</v>
      </c>
    </row>
    <row r="18" spans="2:5">
      <c r="B18" s="3" t="s">
        <v>5</v>
      </c>
      <c r="C18" s="5" t="s">
        <v>12</v>
      </c>
      <c r="D18" s="4" t="s">
        <v>4</v>
      </c>
      <c r="E18" s="3" t="s">
        <v>17</v>
      </c>
    </row>
    <row r="20" spans="2:5">
      <c r="B20" s="7" t="s">
        <v>18</v>
      </c>
      <c r="C20" s="7"/>
      <c r="D20" s="7"/>
      <c r="E20" s="7"/>
    </row>
    <row r="21" spans="2:5">
      <c r="B21" s="7" t="s">
        <v>19</v>
      </c>
      <c r="C21" s="7"/>
      <c r="D21" s="7" t="s">
        <v>25</v>
      </c>
      <c r="E21" s="7"/>
    </row>
    <row r="22" spans="2:5">
      <c r="B22" s="3" t="s">
        <v>9</v>
      </c>
      <c r="C22" s="5">
        <f>450-70</f>
        <v>380</v>
      </c>
      <c r="D22" s="4" t="s">
        <v>13</v>
      </c>
      <c r="E22" s="3"/>
    </row>
    <row r="23" spans="2:5">
      <c r="B23" s="3" t="s">
        <v>9</v>
      </c>
      <c r="C23" s="5">
        <f>1800-12</f>
        <v>1788</v>
      </c>
      <c r="D23" s="4" t="s">
        <v>13</v>
      </c>
      <c r="E23" s="3"/>
    </row>
    <row r="24" spans="2:5">
      <c r="B24" s="3" t="s">
        <v>9</v>
      </c>
      <c r="C24" s="5">
        <f>500-70</f>
        <v>430</v>
      </c>
      <c r="D24" s="4" t="s">
        <v>13</v>
      </c>
      <c r="E24" s="3"/>
    </row>
    <row r="25" spans="2:5">
      <c r="B25" s="3" t="s">
        <v>20</v>
      </c>
      <c r="C25" s="5" t="s">
        <v>21</v>
      </c>
      <c r="D25" s="4" t="s">
        <v>22</v>
      </c>
      <c r="E25" s="3"/>
    </row>
    <row r="26" spans="2:5">
      <c r="B26" s="3" t="s">
        <v>5</v>
      </c>
      <c r="C26" s="5" t="s">
        <v>21</v>
      </c>
      <c r="D26" s="4" t="s">
        <v>3</v>
      </c>
      <c r="E26" s="3"/>
    </row>
    <row r="27" spans="2:5">
      <c r="B27" s="3" t="s">
        <v>5</v>
      </c>
      <c r="C27" s="5" t="s">
        <v>23</v>
      </c>
      <c r="D27" s="4" t="s">
        <v>3</v>
      </c>
      <c r="E27" s="3"/>
    </row>
    <row r="28" spans="2:5">
      <c r="B28" s="3" t="s">
        <v>5</v>
      </c>
      <c r="C28" s="5" t="s">
        <v>24</v>
      </c>
      <c r="D28" s="4" t="s">
        <v>22</v>
      </c>
      <c r="E28" s="3"/>
    </row>
    <row r="30" spans="2:5">
      <c r="B30" s="7" t="s">
        <v>26</v>
      </c>
      <c r="C30" s="7"/>
      <c r="D30" s="7"/>
      <c r="E30" s="7"/>
    </row>
    <row r="31" spans="2:5">
      <c r="B31" s="7" t="s">
        <v>27</v>
      </c>
      <c r="C31" s="7"/>
      <c r="D31" s="7" t="s">
        <v>3</v>
      </c>
      <c r="E31" s="7"/>
    </row>
    <row r="32" spans="2:5">
      <c r="B32" s="3" t="s">
        <v>2</v>
      </c>
      <c r="C32" s="5">
        <v>1718</v>
      </c>
      <c r="D32" s="4" t="s">
        <v>10</v>
      </c>
      <c r="E32" s="3" t="s">
        <v>28</v>
      </c>
    </row>
    <row r="33" spans="2:5">
      <c r="B33" s="3" t="s">
        <v>20</v>
      </c>
      <c r="C33" s="5" t="s">
        <v>27</v>
      </c>
      <c r="D33" s="4" t="s">
        <v>3</v>
      </c>
      <c r="E33" s="3"/>
    </row>
    <row r="35" spans="2:5">
      <c r="B35" s="7" t="s">
        <v>29</v>
      </c>
      <c r="C35" s="7"/>
      <c r="D35" s="7"/>
      <c r="E35" s="7"/>
    </row>
    <row r="36" spans="2:5">
      <c r="B36" s="7" t="s">
        <v>30</v>
      </c>
      <c r="C36" s="7"/>
      <c r="D36" s="7" t="s">
        <v>22</v>
      </c>
      <c r="E36" s="7"/>
    </row>
    <row r="37" spans="2:5">
      <c r="B37" s="3" t="s">
        <v>2</v>
      </c>
      <c r="C37" s="5">
        <v>1350</v>
      </c>
      <c r="D37" s="4" t="s">
        <v>13</v>
      </c>
      <c r="E37" s="3"/>
    </row>
    <row r="38" spans="2:5">
      <c r="B38" s="3" t="s">
        <v>2</v>
      </c>
      <c r="C38" s="5">
        <f>300-32</f>
        <v>268</v>
      </c>
      <c r="D38" s="4" t="s">
        <v>14</v>
      </c>
      <c r="E38" s="3"/>
    </row>
    <row r="39" spans="2:5">
      <c r="B39" s="3" t="s">
        <v>5</v>
      </c>
      <c r="C39" s="5" t="s">
        <v>30</v>
      </c>
      <c r="D39" s="4" t="s">
        <v>22</v>
      </c>
      <c r="E39" s="3"/>
    </row>
    <row r="41" spans="2:5">
      <c r="B41" s="7" t="s">
        <v>31</v>
      </c>
      <c r="C41" s="7"/>
      <c r="D41" s="7"/>
      <c r="E41" s="7"/>
    </row>
    <row r="42" spans="2:5">
      <c r="B42" s="7" t="s">
        <v>32</v>
      </c>
      <c r="C42" s="7"/>
      <c r="D42" s="7" t="s">
        <v>22</v>
      </c>
      <c r="E42" s="7"/>
    </row>
    <row r="43" spans="2:5">
      <c r="B43" s="3" t="s">
        <v>9</v>
      </c>
      <c r="C43" s="5">
        <v>1350</v>
      </c>
      <c r="D43" s="4" t="s">
        <v>13</v>
      </c>
      <c r="E43" s="3"/>
    </row>
    <row r="44" spans="2:5">
      <c r="B44" s="3" t="s">
        <v>9</v>
      </c>
      <c r="C44" s="5">
        <f>600-70</f>
        <v>530</v>
      </c>
      <c r="D44" s="4" t="s">
        <v>14</v>
      </c>
      <c r="E44" s="3"/>
    </row>
    <row r="45" spans="2:5">
      <c r="B45" s="3" t="s">
        <v>5</v>
      </c>
      <c r="C45" s="5" t="s">
        <v>32</v>
      </c>
      <c r="D45" s="4" t="s">
        <v>22</v>
      </c>
      <c r="E45" s="3"/>
    </row>
    <row r="47" spans="2:5">
      <c r="B47" s="7" t="s">
        <v>33</v>
      </c>
      <c r="C47" s="7"/>
      <c r="D47" s="7"/>
      <c r="E47" s="7"/>
    </row>
    <row r="48" spans="2:5">
      <c r="B48" s="7" t="s">
        <v>32</v>
      </c>
      <c r="C48" s="7"/>
      <c r="D48" s="7" t="s">
        <v>22</v>
      </c>
      <c r="E48" s="7"/>
    </row>
    <row r="49" spans="2:5">
      <c r="B49" s="3" t="s">
        <v>9</v>
      </c>
      <c r="C49" s="5">
        <v>1500</v>
      </c>
      <c r="D49" s="4" t="s">
        <v>13</v>
      </c>
      <c r="E49" s="3"/>
    </row>
    <row r="50" spans="2:5">
      <c r="B50" s="3" t="s">
        <v>9</v>
      </c>
      <c r="C50" s="5">
        <f>1350-70</f>
        <v>1280</v>
      </c>
      <c r="D50" s="4" t="s">
        <v>13</v>
      </c>
      <c r="E50" s="3"/>
    </row>
    <row r="51" spans="2:5">
      <c r="B51" s="3" t="s">
        <v>5</v>
      </c>
      <c r="C51" s="5" t="s">
        <v>32</v>
      </c>
      <c r="D51" s="4" t="s">
        <v>22</v>
      </c>
      <c r="E51" s="3"/>
    </row>
    <row r="53" spans="2:5">
      <c r="B53" s="7" t="s">
        <v>34</v>
      </c>
      <c r="C53" s="7"/>
      <c r="D53" s="7"/>
      <c r="E53" s="7"/>
    </row>
    <row r="54" spans="2:5">
      <c r="B54" s="7" t="s">
        <v>32</v>
      </c>
      <c r="C54" s="7"/>
      <c r="D54" s="7" t="s">
        <v>22</v>
      </c>
      <c r="E54" s="7"/>
    </row>
    <row r="55" spans="2:5">
      <c r="B55" s="3" t="s">
        <v>35</v>
      </c>
      <c r="C55" s="5"/>
      <c r="D55" s="4"/>
      <c r="E55" s="3"/>
    </row>
    <row r="57" spans="2:5">
      <c r="B57" s="7" t="s">
        <v>36</v>
      </c>
      <c r="C57" s="7"/>
      <c r="D57" s="7"/>
      <c r="E57" s="7"/>
    </row>
    <row r="58" spans="2:5">
      <c r="B58" s="7" t="s">
        <v>37</v>
      </c>
      <c r="C58" s="7"/>
      <c r="D58" s="7" t="s">
        <v>3</v>
      </c>
      <c r="E58" s="7"/>
    </row>
    <row r="59" spans="2:5">
      <c r="B59" s="3" t="s">
        <v>2</v>
      </c>
      <c r="C59" s="5">
        <v>1800</v>
      </c>
      <c r="D59" s="4" t="s">
        <v>4</v>
      </c>
      <c r="E59" s="3"/>
    </row>
    <row r="60" spans="2:5">
      <c r="B60" s="3" t="s">
        <v>2</v>
      </c>
      <c r="C60" s="5">
        <f>225-32</f>
        <v>193</v>
      </c>
      <c r="D60" s="4" t="s">
        <v>38</v>
      </c>
      <c r="E60" s="3"/>
    </row>
    <row r="61" spans="2:5">
      <c r="B61" s="3" t="s">
        <v>5</v>
      </c>
      <c r="C61" s="5" t="s">
        <v>37</v>
      </c>
      <c r="D61" s="4" t="s">
        <v>3</v>
      </c>
      <c r="E61" s="3"/>
    </row>
    <row r="63" spans="2:5">
      <c r="B63" s="7" t="s">
        <v>39</v>
      </c>
      <c r="C63" s="7"/>
      <c r="D63" s="7"/>
      <c r="E63" s="7"/>
    </row>
    <row r="64" spans="2:5">
      <c r="B64" s="7" t="s">
        <v>40</v>
      </c>
      <c r="C64" s="7"/>
      <c r="D64" s="7" t="s">
        <v>3</v>
      </c>
      <c r="E64" s="7"/>
    </row>
    <row r="65" spans="2:5">
      <c r="B65" s="3" t="s">
        <v>2</v>
      </c>
      <c r="C65" s="5">
        <v>600</v>
      </c>
      <c r="D65" s="4" t="s">
        <v>4</v>
      </c>
      <c r="E65" s="3"/>
    </row>
    <row r="66" spans="2:5">
      <c r="B66" s="3" t="s">
        <v>2</v>
      </c>
      <c r="C66" s="5">
        <f>225-32</f>
        <v>193</v>
      </c>
      <c r="D66" s="4" t="s">
        <v>4</v>
      </c>
      <c r="E66" s="3"/>
    </row>
    <row r="67" spans="2:5">
      <c r="B67" s="3" t="s">
        <v>5</v>
      </c>
      <c r="C67" s="5" t="s">
        <v>40</v>
      </c>
      <c r="D67" s="4" t="s">
        <v>3</v>
      </c>
      <c r="E67" s="3"/>
    </row>
    <row r="69" spans="2:5">
      <c r="B69" s="7" t="s">
        <v>43</v>
      </c>
      <c r="C69" s="7"/>
      <c r="D69" s="7"/>
      <c r="E69" s="7"/>
    </row>
    <row r="70" spans="2:5">
      <c r="B70" s="7" t="s">
        <v>41</v>
      </c>
      <c r="C70" s="7"/>
      <c r="D70" s="7" t="s">
        <v>3</v>
      </c>
      <c r="E70" s="7"/>
    </row>
    <row r="71" spans="2:5">
      <c r="B71" s="3" t="s">
        <v>2</v>
      </c>
      <c r="C71" s="5">
        <v>1800</v>
      </c>
      <c r="D71" s="4" t="s">
        <v>4</v>
      </c>
      <c r="E71" s="3"/>
    </row>
    <row r="72" spans="2:5">
      <c r="B72" s="3" t="s">
        <v>2</v>
      </c>
      <c r="C72" s="5">
        <f>648-32</f>
        <v>616</v>
      </c>
      <c r="D72" s="4" t="s">
        <v>38</v>
      </c>
      <c r="E72" s="3"/>
    </row>
    <row r="73" spans="2:5">
      <c r="B73" s="3" t="s">
        <v>5</v>
      </c>
      <c r="C73" s="5" t="s">
        <v>41</v>
      </c>
      <c r="D73" s="4" t="s">
        <v>3</v>
      </c>
      <c r="E73" s="3"/>
    </row>
    <row r="75" spans="2:5">
      <c r="B75" s="7" t="s">
        <v>44</v>
      </c>
      <c r="C75" s="7"/>
      <c r="D75" s="7"/>
      <c r="E75" s="7"/>
    </row>
    <row r="76" spans="2:5">
      <c r="B76" s="7" t="s">
        <v>42</v>
      </c>
      <c r="C76" s="7"/>
      <c r="D76" s="7" t="s">
        <v>3</v>
      </c>
      <c r="E76" s="7"/>
    </row>
    <row r="77" spans="2:5">
      <c r="B77" s="3" t="s">
        <v>2</v>
      </c>
      <c r="C77" s="5">
        <v>600</v>
      </c>
      <c r="D77" s="4" t="s">
        <v>4</v>
      </c>
      <c r="E77" s="3"/>
    </row>
    <row r="78" spans="2:5">
      <c r="B78" s="3" t="s">
        <v>2</v>
      </c>
      <c r="C78" s="5">
        <f>648-32</f>
        <v>616</v>
      </c>
      <c r="D78" s="4" t="s">
        <v>4</v>
      </c>
      <c r="E78" s="3"/>
    </row>
    <row r="79" spans="2:5">
      <c r="B79" s="3" t="s">
        <v>5</v>
      </c>
      <c r="C79" s="5" t="s">
        <v>42</v>
      </c>
      <c r="D79" s="4" t="s">
        <v>3</v>
      </c>
      <c r="E79" s="3"/>
    </row>
    <row r="81" spans="2:5">
      <c r="B81" s="7" t="s">
        <v>45</v>
      </c>
      <c r="C81" s="7"/>
      <c r="D81" s="7"/>
      <c r="E81" s="7"/>
    </row>
    <row r="82" spans="2:5">
      <c r="B82" s="7" t="s">
        <v>48</v>
      </c>
      <c r="C82" s="7"/>
      <c r="D82" s="7" t="s">
        <v>3</v>
      </c>
      <c r="E82" s="7"/>
    </row>
    <row r="83" spans="2:5">
      <c r="B83" s="3" t="s">
        <v>2</v>
      </c>
      <c r="C83" s="5">
        <v>1800</v>
      </c>
      <c r="D83" s="4" t="s">
        <v>4</v>
      </c>
      <c r="E83" s="3"/>
    </row>
    <row r="84" spans="2:5">
      <c r="B84" s="3" t="s">
        <v>2</v>
      </c>
      <c r="C84" s="5">
        <f>135-32</f>
        <v>103</v>
      </c>
      <c r="D84" s="4" t="s">
        <v>38</v>
      </c>
      <c r="E84" s="3"/>
    </row>
    <row r="85" spans="2:5">
      <c r="B85" s="3" t="s">
        <v>5</v>
      </c>
      <c r="C85" s="5" t="s">
        <v>48</v>
      </c>
      <c r="D85" s="4" t="s">
        <v>3</v>
      </c>
      <c r="E85" s="3"/>
    </row>
    <row r="87" spans="2:5">
      <c r="B87" s="7" t="s">
        <v>47</v>
      </c>
      <c r="C87" s="7"/>
      <c r="D87" s="7"/>
      <c r="E87" s="7"/>
    </row>
    <row r="88" spans="2:5">
      <c r="B88" s="7" t="s">
        <v>46</v>
      </c>
      <c r="C88" s="7"/>
      <c r="D88" s="7" t="s">
        <v>3</v>
      </c>
      <c r="E88" s="7"/>
    </row>
    <row r="89" spans="2:5">
      <c r="B89" s="3" t="s">
        <v>2</v>
      </c>
      <c r="C89" s="5">
        <v>600</v>
      </c>
      <c r="D89" s="4" t="s">
        <v>4</v>
      </c>
      <c r="E89" s="3"/>
    </row>
    <row r="90" spans="2:5">
      <c r="B90" s="3" t="s">
        <v>2</v>
      </c>
      <c r="C90" s="5">
        <f>135-32</f>
        <v>103</v>
      </c>
      <c r="D90" s="4" t="s">
        <v>4</v>
      </c>
      <c r="E90" s="3"/>
    </row>
    <row r="91" spans="2:5">
      <c r="B91" s="3" t="s">
        <v>5</v>
      </c>
      <c r="C91" s="5" t="s">
        <v>46</v>
      </c>
      <c r="D91" s="4" t="s">
        <v>3</v>
      </c>
      <c r="E91" s="3"/>
    </row>
    <row r="93" spans="2:5">
      <c r="B93" s="7" t="s">
        <v>49</v>
      </c>
      <c r="C93" s="7"/>
      <c r="D93" s="7"/>
      <c r="E93" s="7"/>
    </row>
    <row r="94" spans="2:5">
      <c r="B94" s="7" t="s">
        <v>51</v>
      </c>
      <c r="C94" s="7"/>
      <c r="D94" s="7" t="s">
        <v>3</v>
      </c>
      <c r="E94" s="7"/>
    </row>
    <row r="95" spans="2:5">
      <c r="B95" s="3" t="s">
        <v>52</v>
      </c>
      <c r="C95" s="5">
        <f>900-38</f>
        <v>862</v>
      </c>
      <c r="D95" s="4" t="s">
        <v>56</v>
      </c>
      <c r="E95" s="3"/>
    </row>
    <row r="96" spans="2:5">
      <c r="B96" s="3" t="s">
        <v>52</v>
      </c>
      <c r="C96" s="5">
        <v>1000</v>
      </c>
      <c r="D96" s="4" t="s">
        <v>57</v>
      </c>
      <c r="E96" s="3"/>
    </row>
    <row r="97" spans="2:5">
      <c r="B97" s="3" t="s">
        <v>20</v>
      </c>
      <c r="C97" s="5" t="s">
        <v>50</v>
      </c>
      <c r="D97" s="4" t="s">
        <v>3</v>
      </c>
      <c r="E97" s="3"/>
    </row>
    <row r="99" spans="2:5">
      <c r="B99" s="7" t="s">
        <v>53</v>
      </c>
      <c r="C99" s="7"/>
      <c r="D99" s="7"/>
      <c r="E99" s="7"/>
    </row>
    <row r="100" spans="2:5">
      <c r="B100" s="7" t="s">
        <v>54</v>
      </c>
      <c r="C100" s="7"/>
      <c r="D100" s="7" t="s">
        <v>3</v>
      </c>
      <c r="E100" s="7"/>
    </row>
    <row r="101" spans="2:5">
      <c r="B101" s="3" t="s">
        <v>52</v>
      </c>
      <c r="C101" s="5">
        <v>1800</v>
      </c>
      <c r="D101" s="4" t="s">
        <v>58</v>
      </c>
      <c r="E101" s="3"/>
    </row>
    <row r="102" spans="2:5">
      <c r="B102" s="3" t="s">
        <v>52</v>
      </c>
      <c r="C102" s="5">
        <f>900-76</f>
        <v>824</v>
      </c>
      <c r="D102" s="4" t="s">
        <v>58</v>
      </c>
      <c r="E102" s="3"/>
    </row>
    <row r="103" spans="2:5">
      <c r="B103" s="3" t="s">
        <v>59</v>
      </c>
      <c r="C103" s="5">
        <f>900-76</f>
        <v>824</v>
      </c>
      <c r="D103" s="4" t="s">
        <v>56</v>
      </c>
      <c r="E103" s="3"/>
    </row>
    <row r="104" spans="2:5">
      <c r="B104" s="3" t="s">
        <v>20</v>
      </c>
      <c r="C104" s="5" t="s">
        <v>55</v>
      </c>
      <c r="D104" s="4" t="s">
        <v>22</v>
      </c>
      <c r="E104" s="3"/>
    </row>
  </sheetData>
  <mergeCells count="51">
    <mergeCell ref="D100:E100"/>
    <mergeCell ref="B100:C100"/>
    <mergeCell ref="B99:E99"/>
    <mergeCell ref="B87:E87"/>
    <mergeCell ref="B88:C88"/>
    <mergeCell ref="D88:E88"/>
    <mergeCell ref="D94:E94"/>
    <mergeCell ref="B94:C94"/>
    <mergeCell ref="B93:E93"/>
    <mergeCell ref="B75:E75"/>
    <mergeCell ref="B76:C76"/>
    <mergeCell ref="D76:E76"/>
    <mergeCell ref="B81:E81"/>
    <mergeCell ref="B82:C82"/>
    <mergeCell ref="D82:E82"/>
    <mergeCell ref="B63:E63"/>
    <mergeCell ref="B64:C64"/>
    <mergeCell ref="D64:E64"/>
    <mergeCell ref="B69:E69"/>
    <mergeCell ref="B70:C70"/>
    <mergeCell ref="D70:E70"/>
    <mergeCell ref="D54:E54"/>
    <mergeCell ref="B54:C54"/>
    <mergeCell ref="B53:E53"/>
    <mergeCell ref="D58:E58"/>
    <mergeCell ref="B58:C58"/>
    <mergeCell ref="B57:E57"/>
    <mergeCell ref="B2:E2"/>
    <mergeCell ref="B3:C3"/>
    <mergeCell ref="D3:E3"/>
    <mergeCell ref="D9:E9"/>
    <mergeCell ref="B9:C9"/>
    <mergeCell ref="B8:E8"/>
    <mergeCell ref="D14:E14"/>
    <mergeCell ref="B14:C14"/>
    <mergeCell ref="B13:E13"/>
    <mergeCell ref="D21:E21"/>
    <mergeCell ref="B21:C21"/>
    <mergeCell ref="B20:E20"/>
    <mergeCell ref="D31:E31"/>
    <mergeCell ref="B31:C31"/>
    <mergeCell ref="B30:E30"/>
    <mergeCell ref="D36:E36"/>
    <mergeCell ref="B36:C36"/>
    <mergeCell ref="B35:E35"/>
    <mergeCell ref="B41:E41"/>
    <mergeCell ref="B42:C42"/>
    <mergeCell ref="D42:E42"/>
    <mergeCell ref="B47:E47"/>
    <mergeCell ref="B48:C48"/>
    <mergeCell ref="D48:E48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智之青木</dc:creator>
  <cp:lastModifiedBy>tomoyuki aoki</cp:lastModifiedBy>
  <dcterms:created xsi:type="dcterms:W3CDTF">2015-06-05T18:19:34Z</dcterms:created>
  <dcterms:modified xsi:type="dcterms:W3CDTF">2026-03-06T01:20:37Z</dcterms:modified>
</cp:coreProperties>
</file>