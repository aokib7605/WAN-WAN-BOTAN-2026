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01.ドキュメント\01.劇団抜きにくい釘\07.個人\蒼樹とも\01.参加公演\WAN-WAN-BOTAN-2026\02.舞台美術\"/>
    </mc:Choice>
  </mc:AlternateContent>
  <xr:revisionPtr revIDLastSave="0" documentId="13_ncr:1_{24F7E024-9DEE-441C-AA26-268DAE5508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0" i="1" l="1"/>
  <c r="C44" i="1"/>
  <c r="C38" i="1"/>
  <c r="C24" i="1"/>
  <c r="C23" i="1"/>
  <c r="C22" i="1"/>
  <c r="C16" i="1"/>
  <c r="C15" i="1"/>
  <c r="C11" i="1"/>
  <c r="C5" i="1"/>
</calcChain>
</file>

<file path=xl/sharedStrings.xml><?xml version="1.0" encoding="utf-8"?>
<sst xmlns="http://schemas.openxmlformats.org/spreadsheetml/2006/main" count="94" uniqueCount="35">
  <si>
    <t>ドア上部（パネル）</t>
    <rPh sb="2" eb="4">
      <t>ジョウブ</t>
    </rPh>
    <phoneticPr fontId="1"/>
  </si>
  <si>
    <t>800 * 400</t>
    <phoneticPr fontId="1"/>
  </si>
  <si>
    <t>ムツ材</t>
    <rPh sb="2" eb="3">
      <t>ザイ</t>
    </rPh>
    <phoneticPr fontId="1"/>
  </si>
  <si>
    <t>1枚</t>
    <rPh sb="1" eb="2">
      <t>マイ</t>
    </rPh>
    <phoneticPr fontId="1"/>
  </si>
  <si>
    <t>2本</t>
    <rPh sb="1" eb="2">
      <t>ホン</t>
    </rPh>
    <phoneticPr fontId="1"/>
  </si>
  <si>
    <t>ベニヤ</t>
    <phoneticPr fontId="1"/>
  </si>
  <si>
    <t>ドア枠（コの字）</t>
    <rPh sb="2" eb="3">
      <t>ワク</t>
    </rPh>
    <rPh sb="6" eb="7">
      <t>ジ</t>
    </rPh>
    <phoneticPr fontId="1"/>
  </si>
  <si>
    <t>800 * 2000</t>
    <phoneticPr fontId="1"/>
  </si>
  <si>
    <t>1枠</t>
    <rPh sb="1" eb="2">
      <t>ワク</t>
    </rPh>
    <phoneticPr fontId="1"/>
  </si>
  <si>
    <t>寸角</t>
    <rPh sb="0" eb="2">
      <t>スンカク</t>
    </rPh>
    <phoneticPr fontId="1"/>
  </si>
  <si>
    <t>1本</t>
    <rPh sb="1" eb="2">
      <t>ホン</t>
    </rPh>
    <phoneticPr fontId="1"/>
  </si>
  <si>
    <t>ドア</t>
    <phoneticPr fontId="1"/>
  </si>
  <si>
    <t>730 * 1965</t>
    <phoneticPr fontId="1"/>
  </si>
  <si>
    <t>4本</t>
    <rPh sb="1" eb="2">
      <t>ホン</t>
    </rPh>
    <phoneticPr fontId="1"/>
  </si>
  <si>
    <t>6本</t>
    <rPh sb="1" eb="2">
      <t>ホン</t>
    </rPh>
    <phoneticPr fontId="1"/>
  </si>
  <si>
    <t>窓枠（横）、取っ手</t>
    <rPh sb="0" eb="1">
      <t>マド</t>
    </rPh>
    <rPh sb="1" eb="2">
      <t>ワク</t>
    </rPh>
    <rPh sb="3" eb="4">
      <t>ヨコ</t>
    </rPh>
    <rPh sb="6" eb="7">
      <t>ト</t>
    </rPh>
    <rPh sb="8" eb="9">
      <t>テ</t>
    </rPh>
    <phoneticPr fontId="1"/>
  </si>
  <si>
    <t>窓枠（縦）</t>
    <rPh sb="0" eb="1">
      <t>マド</t>
    </rPh>
    <rPh sb="1" eb="2">
      <t>ワク</t>
    </rPh>
    <rPh sb="3" eb="4">
      <t>タテ</t>
    </rPh>
    <phoneticPr fontId="1"/>
  </si>
  <si>
    <t>窓枠（360 * 540）</t>
    <rPh sb="0" eb="2">
      <t>マドワク</t>
    </rPh>
    <phoneticPr fontId="1"/>
  </si>
  <si>
    <t>ロッカー（本体）</t>
    <rPh sb="5" eb="7">
      <t>ホンタイ</t>
    </rPh>
    <phoneticPr fontId="1"/>
  </si>
  <si>
    <t>450 * 1800 * 500</t>
    <phoneticPr fontId="1"/>
  </si>
  <si>
    <t>コンパネ</t>
    <phoneticPr fontId="1"/>
  </si>
  <si>
    <t>450 * 500</t>
    <phoneticPr fontId="1"/>
  </si>
  <si>
    <t>2枚</t>
    <rPh sb="1" eb="2">
      <t>マイ</t>
    </rPh>
    <phoneticPr fontId="1"/>
  </si>
  <si>
    <t>450 * 1800</t>
    <phoneticPr fontId="1"/>
  </si>
  <si>
    <t>500 * 1800</t>
    <phoneticPr fontId="1"/>
  </si>
  <si>
    <t>1個</t>
    <rPh sb="1" eb="2">
      <t>コ</t>
    </rPh>
    <phoneticPr fontId="1"/>
  </si>
  <si>
    <t>ロッカー（ドア）</t>
    <phoneticPr fontId="1"/>
  </si>
  <si>
    <t>380 * 1718</t>
    <phoneticPr fontId="1"/>
  </si>
  <si>
    <t>取っ手部分</t>
    <rPh sb="0" eb="1">
      <t>ト</t>
    </rPh>
    <rPh sb="2" eb="3">
      <t>テ</t>
    </rPh>
    <rPh sb="3" eb="5">
      <t>ブブン</t>
    </rPh>
    <phoneticPr fontId="1"/>
  </si>
  <si>
    <t>窓上部（パネル）</t>
    <rPh sb="0" eb="1">
      <t>マド</t>
    </rPh>
    <rPh sb="1" eb="3">
      <t>ジョウブ</t>
    </rPh>
    <phoneticPr fontId="1"/>
  </si>
  <si>
    <t>1350 * 300</t>
    <phoneticPr fontId="1"/>
  </si>
  <si>
    <t>窓下部（パネル）</t>
    <rPh sb="0" eb="1">
      <t>マド</t>
    </rPh>
    <rPh sb="1" eb="3">
      <t>カブ</t>
    </rPh>
    <phoneticPr fontId="1"/>
  </si>
  <si>
    <t>1350 * 600</t>
    <phoneticPr fontId="1"/>
  </si>
  <si>
    <t>窓枠</t>
    <rPh sb="0" eb="1">
      <t>マド</t>
    </rPh>
    <rPh sb="1" eb="2">
      <t>ワク</t>
    </rPh>
    <phoneticPr fontId="1"/>
  </si>
  <si>
    <t>窓</t>
    <rPh sb="0" eb="1">
      <t>マド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</si>
</sst>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&quot;mm&quot;"/>
  </numFmts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54"/>
  <sheetViews>
    <sheetView tabSelected="1" topLeftCell="A41" workbookViewId="0">
      <selection activeCell="L45" sqref="L45"/>
    </sheetView>
  </sheetViews>
  <sheetFormatPr defaultColWidth="3.69921875" defaultRowHeight="18"/>
  <cols>
    <col min="1" max="1" width="3.69921875" style="1"/>
    <col min="2" max="2" width="17.59765625" style="1" customWidth="1"/>
    <col min="3" max="3" width="17.59765625" style="6" customWidth="1"/>
    <col min="4" max="4" width="17.59765625" style="2" customWidth="1"/>
    <col min="5" max="5" width="17.59765625" style="1" customWidth="1"/>
    <col min="6" max="16384" width="3.69921875" style="1"/>
  </cols>
  <sheetData>
    <row r="2" spans="2:5">
      <c r="B2" s="7" t="s">
        <v>0</v>
      </c>
      <c r="C2" s="7"/>
      <c r="D2" s="7"/>
      <c r="E2" s="7"/>
    </row>
    <row r="3" spans="2:5">
      <c r="B3" s="7" t="s">
        <v>1</v>
      </c>
      <c r="C3" s="7"/>
      <c r="D3" s="7" t="s">
        <v>3</v>
      </c>
      <c r="E3" s="7"/>
    </row>
    <row r="4" spans="2:5">
      <c r="B4" s="3" t="s">
        <v>2</v>
      </c>
      <c r="C4" s="5">
        <v>800</v>
      </c>
      <c r="D4" s="4" t="s">
        <v>4</v>
      </c>
      <c r="E4" s="3"/>
    </row>
    <row r="5" spans="2:5">
      <c r="B5" s="3" t="s">
        <v>2</v>
      </c>
      <c r="C5" s="5">
        <f>400-32</f>
        <v>368</v>
      </c>
      <c r="D5" s="4" t="s">
        <v>4</v>
      </c>
      <c r="E5" s="3"/>
    </row>
    <row r="6" spans="2:5">
      <c r="B6" s="3" t="s">
        <v>5</v>
      </c>
      <c r="C6" s="5" t="s">
        <v>1</v>
      </c>
      <c r="D6" s="4" t="s">
        <v>3</v>
      </c>
      <c r="E6" s="3"/>
    </row>
    <row r="8" spans="2:5">
      <c r="B8" s="7" t="s">
        <v>6</v>
      </c>
      <c r="C8" s="7"/>
      <c r="D8" s="7"/>
      <c r="E8" s="7"/>
    </row>
    <row r="9" spans="2:5">
      <c r="B9" s="7" t="s">
        <v>7</v>
      </c>
      <c r="C9" s="7"/>
      <c r="D9" s="7" t="s">
        <v>8</v>
      </c>
      <c r="E9" s="7"/>
    </row>
    <row r="10" spans="2:5">
      <c r="B10" s="3" t="s">
        <v>9</v>
      </c>
      <c r="C10" s="5">
        <v>2000</v>
      </c>
      <c r="D10" s="4" t="s">
        <v>4</v>
      </c>
      <c r="E10" s="3"/>
    </row>
    <row r="11" spans="2:5">
      <c r="B11" s="3" t="s">
        <v>9</v>
      </c>
      <c r="C11" s="5">
        <f>800-70</f>
        <v>730</v>
      </c>
      <c r="D11" s="4" t="s">
        <v>10</v>
      </c>
      <c r="E11" s="3"/>
    </row>
    <row r="13" spans="2:5">
      <c r="B13" s="7" t="s">
        <v>11</v>
      </c>
      <c r="C13" s="7"/>
      <c r="D13" s="7"/>
      <c r="E13" s="7"/>
    </row>
    <row r="14" spans="2:5">
      <c r="B14" s="7" t="s">
        <v>12</v>
      </c>
      <c r="C14" s="7"/>
      <c r="D14" s="7" t="s">
        <v>3</v>
      </c>
      <c r="E14" s="7"/>
    </row>
    <row r="15" spans="2:5">
      <c r="B15" s="3" t="s">
        <v>9</v>
      </c>
      <c r="C15" s="5">
        <f>2000-35</f>
        <v>1965</v>
      </c>
      <c r="D15" s="4" t="s">
        <v>4</v>
      </c>
      <c r="E15" s="3"/>
    </row>
    <row r="16" spans="2:5">
      <c r="B16" s="3" t="s">
        <v>9</v>
      </c>
      <c r="C16" s="5">
        <f>800-70-70</f>
        <v>660</v>
      </c>
      <c r="D16" s="4" t="s">
        <v>14</v>
      </c>
      <c r="E16" s="3" t="s">
        <v>15</v>
      </c>
    </row>
    <row r="17" spans="2:5">
      <c r="B17" s="3" t="s">
        <v>9</v>
      </c>
      <c r="C17" s="5">
        <v>540</v>
      </c>
      <c r="D17" s="4" t="s">
        <v>4</v>
      </c>
      <c r="E17" s="3" t="s">
        <v>16</v>
      </c>
    </row>
    <row r="18" spans="2:5">
      <c r="B18" s="3" t="s">
        <v>5</v>
      </c>
      <c r="C18" s="5" t="s">
        <v>12</v>
      </c>
      <c r="D18" s="4" t="s">
        <v>4</v>
      </c>
      <c r="E18" s="3" t="s">
        <v>17</v>
      </c>
    </row>
    <row r="20" spans="2:5">
      <c r="B20" s="7" t="s">
        <v>18</v>
      </c>
      <c r="C20" s="7"/>
      <c r="D20" s="7"/>
      <c r="E20" s="7"/>
    </row>
    <row r="21" spans="2:5">
      <c r="B21" s="7" t="s">
        <v>19</v>
      </c>
      <c r="C21" s="7"/>
      <c r="D21" s="7" t="s">
        <v>25</v>
      </c>
      <c r="E21" s="7"/>
    </row>
    <row r="22" spans="2:5">
      <c r="B22" s="3" t="s">
        <v>9</v>
      </c>
      <c r="C22" s="5">
        <f>450-70</f>
        <v>380</v>
      </c>
      <c r="D22" s="4" t="s">
        <v>13</v>
      </c>
      <c r="E22" s="3"/>
    </row>
    <row r="23" spans="2:5">
      <c r="B23" s="3" t="s">
        <v>9</v>
      </c>
      <c r="C23" s="5">
        <f>1800-12</f>
        <v>1788</v>
      </c>
      <c r="D23" s="4" t="s">
        <v>13</v>
      </c>
      <c r="E23" s="3"/>
    </row>
    <row r="24" spans="2:5">
      <c r="B24" s="3" t="s">
        <v>9</v>
      </c>
      <c r="C24" s="5">
        <f>500-70</f>
        <v>430</v>
      </c>
      <c r="D24" s="4" t="s">
        <v>13</v>
      </c>
      <c r="E24" s="3"/>
    </row>
    <row r="25" spans="2:5">
      <c r="B25" s="3" t="s">
        <v>20</v>
      </c>
      <c r="C25" s="5" t="s">
        <v>21</v>
      </c>
      <c r="D25" s="4" t="s">
        <v>22</v>
      </c>
      <c r="E25" s="3"/>
    </row>
    <row r="26" spans="2:5">
      <c r="B26" s="3" t="s">
        <v>5</v>
      </c>
      <c r="C26" s="5" t="s">
        <v>21</v>
      </c>
      <c r="D26" s="4" t="s">
        <v>3</v>
      </c>
      <c r="E26" s="3"/>
    </row>
    <row r="27" spans="2:5">
      <c r="B27" s="3" t="s">
        <v>5</v>
      </c>
      <c r="C27" s="5" t="s">
        <v>23</v>
      </c>
      <c r="D27" s="4" t="s">
        <v>3</v>
      </c>
      <c r="E27" s="3"/>
    </row>
    <row r="28" spans="2:5">
      <c r="B28" s="3" t="s">
        <v>5</v>
      </c>
      <c r="C28" s="5" t="s">
        <v>24</v>
      </c>
      <c r="D28" s="4" t="s">
        <v>22</v>
      </c>
      <c r="E28" s="3"/>
    </row>
    <row r="30" spans="2:5">
      <c r="B30" s="7" t="s">
        <v>26</v>
      </c>
      <c r="C30" s="7"/>
      <c r="D30" s="7"/>
      <c r="E30" s="7"/>
    </row>
    <row r="31" spans="2:5">
      <c r="B31" s="7" t="s">
        <v>27</v>
      </c>
      <c r="C31" s="7"/>
      <c r="D31" s="7" t="s">
        <v>3</v>
      </c>
      <c r="E31" s="7"/>
    </row>
    <row r="32" spans="2:5">
      <c r="B32" s="3" t="s">
        <v>2</v>
      </c>
      <c r="C32" s="5">
        <v>1718</v>
      </c>
      <c r="D32" s="4" t="s">
        <v>10</v>
      </c>
      <c r="E32" s="3" t="s">
        <v>28</v>
      </c>
    </row>
    <row r="33" spans="2:5">
      <c r="B33" s="3" t="s">
        <v>20</v>
      </c>
      <c r="C33" s="5" t="s">
        <v>27</v>
      </c>
      <c r="D33" s="4" t="s">
        <v>3</v>
      </c>
      <c r="E33" s="3"/>
    </row>
    <row r="35" spans="2:5">
      <c r="B35" s="7" t="s">
        <v>29</v>
      </c>
      <c r="C35" s="7"/>
      <c r="D35" s="7"/>
      <c r="E35" s="7"/>
    </row>
    <row r="36" spans="2:5">
      <c r="B36" s="7" t="s">
        <v>30</v>
      </c>
      <c r="C36" s="7"/>
      <c r="D36" s="7" t="s">
        <v>22</v>
      </c>
      <c r="E36" s="7"/>
    </row>
    <row r="37" spans="2:5">
      <c r="B37" s="3" t="s">
        <v>2</v>
      </c>
      <c r="C37" s="5">
        <v>1350</v>
      </c>
      <c r="D37" s="4" t="s">
        <v>13</v>
      </c>
      <c r="E37" s="3"/>
    </row>
    <row r="38" spans="2:5">
      <c r="B38" s="3" t="s">
        <v>2</v>
      </c>
      <c r="C38" s="5">
        <f>300-32</f>
        <v>268</v>
      </c>
      <c r="D38" s="4" t="s">
        <v>14</v>
      </c>
      <c r="E38" s="3"/>
    </row>
    <row r="39" spans="2:5">
      <c r="B39" s="3" t="s">
        <v>5</v>
      </c>
      <c r="C39" s="5" t="s">
        <v>30</v>
      </c>
      <c r="D39" s="4" t="s">
        <v>22</v>
      </c>
      <c r="E39" s="3"/>
    </row>
    <row r="41" spans="2:5">
      <c r="B41" s="7" t="s">
        <v>31</v>
      </c>
      <c r="C41" s="7"/>
      <c r="D41" s="7"/>
      <c r="E41" s="7"/>
    </row>
    <row r="42" spans="2:5">
      <c r="B42" s="7" t="s">
        <v>32</v>
      </c>
      <c r="C42" s="7"/>
      <c r="D42" s="7" t="s">
        <v>22</v>
      </c>
      <c r="E42" s="7"/>
    </row>
    <row r="43" spans="2:5">
      <c r="B43" s="3" t="s">
        <v>9</v>
      </c>
      <c r="C43" s="5">
        <v>1350</v>
      </c>
      <c r="D43" s="4" t="s">
        <v>13</v>
      </c>
      <c r="E43" s="3"/>
    </row>
    <row r="44" spans="2:5">
      <c r="B44" s="3" t="s">
        <v>9</v>
      </c>
      <c r="C44" s="5">
        <f>600-70</f>
        <v>530</v>
      </c>
      <c r="D44" s="4" t="s">
        <v>14</v>
      </c>
      <c r="E44" s="3"/>
    </row>
    <row r="45" spans="2:5">
      <c r="B45" s="3" t="s">
        <v>5</v>
      </c>
      <c r="C45" s="5" t="s">
        <v>32</v>
      </c>
      <c r="D45" s="4" t="s">
        <v>22</v>
      </c>
      <c r="E45" s="3"/>
    </row>
    <row r="47" spans="2:5">
      <c r="B47" s="7" t="s">
        <v>33</v>
      </c>
      <c r="C47" s="7"/>
      <c r="D47" s="7"/>
      <c r="E47" s="7"/>
    </row>
    <row r="48" spans="2:5">
      <c r="B48" s="7" t="s">
        <v>32</v>
      </c>
      <c r="C48" s="7"/>
      <c r="D48" s="7" t="s">
        <v>22</v>
      </c>
      <c r="E48" s="7"/>
    </row>
    <row r="49" spans="2:5">
      <c r="B49" s="3" t="s">
        <v>9</v>
      </c>
      <c r="C49" s="5">
        <v>1500</v>
      </c>
      <c r="D49" s="4" t="s">
        <v>13</v>
      </c>
      <c r="E49" s="3"/>
    </row>
    <row r="50" spans="2:5">
      <c r="B50" s="3" t="s">
        <v>9</v>
      </c>
      <c r="C50" s="5">
        <f>1350-70</f>
        <v>1280</v>
      </c>
      <c r="D50" s="4" t="s">
        <v>13</v>
      </c>
      <c r="E50" s="3"/>
    </row>
    <row r="51" spans="2:5">
      <c r="B51" s="3" t="s">
        <v>5</v>
      </c>
      <c r="C51" s="5" t="s">
        <v>32</v>
      </c>
      <c r="D51" s="4" t="s">
        <v>22</v>
      </c>
      <c r="E51" s="3"/>
    </row>
    <row r="53" spans="2:5">
      <c r="B53" s="1" t="s">
        <v>34</v>
      </c>
    </row>
    <row r="54" spans="2:5">
      <c r="B54" s="1" t="s">
        <v>32</v>
      </c>
    </row>
  </sheetData>
  <mergeCells count="24">
    <mergeCell ref="B41:E41"/>
    <mergeCell ref="B42:C42"/>
    <mergeCell ref="D42:E42"/>
    <mergeCell ref="B47:E47"/>
    <mergeCell ref="B48:C48"/>
    <mergeCell ref="D48:E48"/>
    <mergeCell ref="D31:E31"/>
    <mergeCell ref="B31:C31"/>
    <mergeCell ref="B30:E30"/>
    <mergeCell ref="D36:E36"/>
    <mergeCell ref="B36:C36"/>
    <mergeCell ref="B35:E35"/>
    <mergeCell ref="D14:E14"/>
    <mergeCell ref="B14:C14"/>
    <mergeCell ref="B13:E13"/>
    <mergeCell ref="D21:E21"/>
    <mergeCell ref="B21:C21"/>
    <mergeCell ref="B20:E20"/>
    <mergeCell ref="B2:E2"/>
    <mergeCell ref="B3:C3"/>
    <mergeCell ref="D3:E3"/>
    <mergeCell ref="D9:E9"/>
    <mergeCell ref="B9:C9"/>
    <mergeCell ref="B8:E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智之青木</dc:creator>
  <cp:lastModifiedBy>青木 智之</cp:lastModifiedBy>
  <dcterms:created xsi:type="dcterms:W3CDTF">2015-06-05T18:19:34Z</dcterms:created>
  <dcterms:modified xsi:type="dcterms:W3CDTF">2026-03-05T21:56:39Z</dcterms:modified>
</cp:coreProperties>
</file>