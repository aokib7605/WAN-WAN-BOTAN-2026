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青木智之\Desktop\aoki\files\2026.03 WAN-WAN BOTAN\03.舞台監督\"/>
    </mc:Choice>
  </mc:AlternateContent>
  <xr:revisionPtr revIDLastSave="0" documentId="13_ncr:20001_{4087E000-AFBD-4096-B539-9EE85BB2F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324" sheetId="2" r:id="rId1"/>
    <sheet name="0325" sheetId="9" r:id="rId2"/>
    <sheet name="0326" sheetId="8" r:id="rId3"/>
    <sheet name="0327" sheetId="10" r:id="rId4"/>
    <sheet name="0328" sheetId="11" r:id="rId5"/>
    <sheet name="0329" sheetId="12" r:id="rId6"/>
    <sheet name="メンバー" sheetId="1" r:id="rId7"/>
    <sheet name="参照用（触らない）" sheetId="3" r:id="rId8"/>
    <sheet name="参照用" sheetId="7" r:id="rId9"/>
  </sheets>
  <definedNames>
    <definedName name="_xlnm.Print_Area" localSheetId="0">'0324'!$A$1:$AL$51</definedName>
    <definedName name="_xlnm.Print_Area" localSheetId="1">'0325'!$A$1:$AL$51</definedName>
    <definedName name="_xlnm.Print_Area" localSheetId="2">'0326'!$A$1:$AL$51</definedName>
    <definedName name="_xlnm.Print_Area" localSheetId="3">'0327'!$A$1:$AL$51</definedName>
    <definedName name="_xlnm.Print_Area" localSheetId="4">'0328'!$A$1:$AL$51</definedName>
    <definedName name="_xlnm.Print_Area" localSheetId="5">'0329'!$A$1:$AL$51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12" l="1"/>
  <c r="D51" i="12"/>
  <c r="Y50" i="12"/>
  <c r="R50" i="12"/>
  <c r="D50" i="12"/>
  <c r="Y49" i="12"/>
  <c r="R49" i="12"/>
  <c r="D49" i="12"/>
  <c r="Y48" i="12"/>
  <c r="R48" i="12"/>
  <c r="D48" i="12"/>
  <c r="R51" i="11"/>
  <c r="D51" i="11"/>
  <c r="Y50" i="11"/>
  <c r="R50" i="11"/>
  <c r="D50" i="11"/>
  <c r="Y49" i="11"/>
  <c r="R49" i="11"/>
  <c r="D49" i="11"/>
  <c r="Y48" i="11"/>
  <c r="R48" i="11"/>
  <c r="D48" i="11"/>
  <c r="R51" i="10"/>
  <c r="D51" i="10"/>
  <c r="Y50" i="10"/>
  <c r="R50" i="10"/>
  <c r="D50" i="10"/>
  <c r="Y49" i="10"/>
  <c r="R49" i="10"/>
  <c r="D49" i="10"/>
  <c r="Y48" i="10"/>
  <c r="R48" i="10"/>
  <c r="D48" i="10"/>
  <c r="R51" i="8"/>
  <c r="D51" i="8"/>
  <c r="Y50" i="8"/>
  <c r="R50" i="8"/>
  <c r="D50" i="8"/>
  <c r="Y49" i="8"/>
  <c r="R49" i="8"/>
  <c r="D49" i="8"/>
  <c r="Y48" i="8"/>
  <c r="R48" i="8"/>
  <c r="D48" i="8"/>
  <c r="R51" i="9"/>
  <c r="D51" i="9"/>
  <c r="Y50" i="9"/>
  <c r="R50" i="9"/>
  <c r="D50" i="9"/>
  <c r="Y49" i="9"/>
  <c r="R49" i="9"/>
  <c r="D49" i="9"/>
  <c r="Y48" i="9"/>
  <c r="R48" i="9"/>
  <c r="D48" i="9"/>
  <c r="O51" i="12"/>
  <c r="A51" i="12"/>
  <c r="V50" i="12"/>
  <c r="O50" i="12"/>
  <c r="A50" i="12"/>
  <c r="V49" i="12"/>
  <c r="O49" i="12"/>
  <c r="A49" i="12"/>
  <c r="V48" i="12"/>
  <c r="O48" i="12"/>
  <c r="A48" i="12"/>
  <c r="C9" i="12"/>
  <c r="I9" i="12" s="1"/>
  <c r="O51" i="11"/>
  <c r="A51" i="11"/>
  <c r="V50" i="11"/>
  <c r="O50" i="11"/>
  <c r="A50" i="11"/>
  <c r="V49" i="11"/>
  <c r="O49" i="11"/>
  <c r="A49" i="11"/>
  <c r="V48" i="11"/>
  <c r="O48" i="11"/>
  <c r="A48" i="11"/>
  <c r="C9" i="11"/>
  <c r="O9" i="11" s="1"/>
  <c r="O51" i="10"/>
  <c r="A51" i="10"/>
  <c r="V50" i="10"/>
  <c r="O50" i="10"/>
  <c r="A50" i="10"/>
  <c r="V49" i="10"/>
  <c r="O49" i="10"/>
  <c r="A49" i="10"/>
  <c r="V48" i="10"/>
  <c r="O48" i="10"/>
  <c r="A48" i="10"/>
  <c r="C9" i="10"/>
  <c r="I9" i="10" s="1"/>
  <c r="O51" i="9"/>
  <c r="A51" i="9"/>
  <c r="V50" i="9"/>
  <c r="O50" i="9"/>
  <c r="A50" i="9"/>
  <c r="V49" i="9"/>
  <c r="O49" i="9"/>
  <c r="A49" i="9"/>
  <c r="V48" i="9"/>
  <c r="O48" i="9"/>
  <c r="A48" i="9"/>
  <c r="C9" i="9"/>
  <c r="O9" i="9" s="1"/>
  <c r="O51" i="8"/>
  <c r="A51" i="8"/>
  <c r="V50" i="8"/>
  <c r="O50" i="8"/>
  <c r="A50" i="8"/>
  <c r="V49" i="8"/>
  <c r="O49" i="8"/>
  <c r="A49" i="8"/>
  <c r="V48" i="8"/>
  <c r="O48" i="8"/>
  <c r="A48" i="8"/>
  <c r="C9" i="8"/>
  <c r="O9" i="8" s="1"/>
  <c r="D51" i="2"/>
  <c r="D50" i="2"/>
  <c r="D49" i="2"/>
  <c r="D48" i="2"/>
  <c r="A48" i="2"/>
  <c r="A51" i="2"/>
  <c r="A50" i="2"/>
  <c r="A49" i="2"/>
  <c r="O48" i="2"/>
  <c r="Y50" i="2"/>
  <c r="Y49" i="2"/>
  <c r="Y48" i="2"/>
  <c r="R51" i="2"/>
  <c r="R50" i="2"/>
  <c r="R49" i="2"/>
  <c r="R48" i="2"/>
  <c r="V50" i="2"/>
  <c r="V49" i="2"/>
  <c r="V48" i="2"/>
  <c r="O51" i="2"/>
  <c r="O50" i="2"/>
  <c r="O49" i="2"/>
  <c r="O9" i="12" l="1"/>
  <c r="U9" i="12" s="1"/>
  <c r="AA9" i="12"/>
  <c r="AA9" i="11"/>
  <c r="U9" i="11"/>
  <c r="I9" i="11"/>
  <c r="O9" i="10"/>
  <c r="AA9" i="9"/>
  <c r="U9" i="9"/>
  <c r="I9" i="9"/>
  <c r="AA9" i="8"/>
  <c r="U9" i="8"/>
  <c r="I9" i="8"/>
  <c r="H12" i="1"/>
  <c r="G12" i="1"/>
  <c r="C19" i="12" l="1"/>
  <c r="AG9" i="12"/>
  <c r="C19" i="11"/>
  <c r="AG9" i="11"/>
  <c r="AA9" i="10"/>
  <c r="U9" i="10"/>
  <c r="C19" i="9"/>
  <c r="AG9" i="9"/>
  <c r="C19" i="8"/>
  <c r="AG9" i="8"/>
  <c r="O19" i="12" l="1"/>
  <c r="I19" i="12"/>
  <c r="O19" i="11"/>
  <c r="I19" i="11"/>
  <c r="C19" i="10"/>
  <c r="AG9" i="10"/>
  <c r="O19" i="9"/>
  <c r="I19" i="9"/>
  <c r="O19" i="8"/>
  <c r="I19" i="8"/>
  <c r="C9" i="2"/>
  <c r="I9" i="2" s="1"/>
  <c r="AA19" i="12" l="1"/>
  <c r="U19" i="12"/>
  <c r="AA19" i="11"/>
  <c r="U19" i="11"/>
  <c r="O19" i="10"/>
  <c r="I19" i="10"/>
  <c r="AA19" i="9"/>
  <c r="U19" i="9"/>
  <c r="AA19" i="8"/>
  <c r="U19" i="8"/>
  <c r="O9" i="2"/>
  <c r="AA9" i="2" s="1"/>
  <c r="AG9" i="2" s="1"/>
  <c r="E12" i="1"/>
  <c r="F12" i="1"/>
  <c r="I12" i="1"/>
  <c r="D12" i="1"/>
  <c r="C29" i="12" l="1"/>
  <c r="AG19" i="12"/>
  <c r="C29" i="11"/>
  <c r="AG19" i="11"/>
  <c r="AA19" i="10"/>
  <c r="U19" i="10"/>
  <c r="AG19" i="9"/>
  <c r="C29" i="9"/>
  <c r="C29" i="8"/>
  <c r="AG19" i="8"/>
  <c r="U9" i="2"/>
  <c r="C19" i="2"/>
  <c r="I19" i="2" s="1"/>
  <c r="I29" i="12" l="1"/>
  <c r="O29" i="12"/>
  <c r="I29" i="11"/>
  <c r="O29" i="11"/>
  <c r="C29" i="10"/>
  <c r="AG19" i="10"/>
  <c r="I29" i="9"/>
  <c r="O29" i="9"/>
  <c r="I29" i="8"/>
  <c r="O29" i="8"/>
  <c r="O19" i="2"/>
  <c r="AA29" i="12" l="1"/>
  <c r="U29" i="12"/>
  <c r="AA29" i="11"/>
  <c r="U29" i="11"/>
  <c r="I29" i="10"/>
  <c r="O29" i="10"/>
  <c r="AA29" i="9"/>
  <c r="U29" i="9"/>
  <c r="AA29" i="8"/>
  <c r="U29" i="8"/>
  <c r="U19" i="2"/>
  <c r="AA19" i="2"/>
  <c r="C39" i="12" l="1"/>
  <c r="AG29" i="12"/>
  <c r="AG29" i="11"/>
  <c r="C39" i="11"/>
  <c r="AA29" i="10"/>
  <c r="U29" i="10"/>
  <c r="C39" i="9"/>
  <c r="AG29" i="9"/>
  <c r="C39" i="8"/>
  <c r="AG29" i="8"/>
  <c r="AG19" i="2"/>
  <c r="C29" i="2"/>
  <c r="O39" i="12" l="1"/>
  <c r="I39" i="12"/>
  <c r="I39" i="11"/>
  <c r="O39" i="11"/>
  <c r="C39" i="10"/>
  <c r="AG29" i="10"/>
  <c r="O39" i="9"/>
  <c r="I39" i="9"/>
  <c r="O39" i="8"/>
  <c r="I39" i="8"/>
  <c r="O29" i="2"/>
  <c r="I29" i="2"/>
  <c r="U39" i="12" l="1"/>
  <c r="AA39" i="12"/>
  <c r="AG39" i="12" s="1"/>
  <c r="AA39" i="11"/>
  <c r="AG39" i="11" s="1"/>
  <c r="U39" i="11"/>
  <c r="O39" i="10"/>
  <c r="I39" i="10"/>
  <c r="AA39" i="9"/>
  <c r="AG39" i="9" s="1"/>
  <c r="U39" i="9"/>
  <c r="AA39" i="8"/>
  <c r="AG39" i="8" s="1"/>
  <c r="U39" i="8"/>
  <c r="AA29" i="2"/>
  <c r="U29" i="2"/>
  <c r="AA39" i="10" l="1"/>
  <c r="AG39" i="10" s="1"/>
  <c r="U39" i="10"/>
  <c r="AG29" i="2"/>
  <c r="C39" i="2"/>
  <c r="O39" i="2" l="1"/>
  <c r="I39" i="2"/>
  <c r="AA39" i="2" l="1"/>
  <c r="AG39" i="2" s="1"/>
  <c r="U39" i="2"/>
</calcChain>
</file>

<file path=xl/sharedStrings.xml><?xml version="1.0" encoding="utf-8"?>
<sst xmlns="http://schemas.openxmlformats.org/spreadsheetml/2006/main" count="408" uniqueCount="145">
  <si>
    <t>テクニカル</t>
    <phoneticPr fontId="2"/>
  </si>
  <si>
    <t>役者</t>
    <rPh sb="0" eb="2">
      <t>ヤクシャ</t>
    </rPh>
    <phoneticPr fontId="2"/>
  </si>
  <si>
    <t>演出</t>
    <rPh sb="0" eb="2">
      <t>エンシュツ</t>
    </rPh>
    <phoneticPr fontId="2"/>
  </si>
  <si>
    <t>舞台監督</t>
    <rPh sb="0" eb="4">
      <t>ブタイカントク</t>
    </rPh>
    <phoneticPr fontId="2"/>
  </si>
  <si>
    <t>照明</t>
    <rPh sb="0" eb="2">
      <t>ショウメイ</t>
    </rPh>
    <phoneticPr fontId="2"/>
  </si>
  <si>
    <t>演出補佐</t>
    <rPh sb="0" eb="2">
      <t>エンシュツ</t>
    </rPh>
    <rPh sb="2" eb="4">
      <t>ホサ</t>
    </rPh>
    <phoneticPr fontId="2"/>
  </si>
  <si>
    <t>音響</t>
    <rPh sb="0" eb="2">
      <t>オンキョウ</t>
    </rPh>
    <phoneticPr fontId="2"/>
  </si>
  <si>
    <t>衣装</t>
    <rPh sb="0" eb="2">
      <t>イショウ</t>
    </rPh>
    <phoneticPr fontId="2"/>
  </si>
  <si>
    <t>小道具</t>
    <rPh sb="0" eb="3">
      <t>コドウグ</t>
    </rPh>
    <phoneticPr fontId="2"/>
  </si>
  <si>
    <t>制作</t>
    <rPh sb="0" eb="2">
      <t>セイサク</t>
    </rPh>
    <phoneticPr fontId="2"/>
  </si>
  <si>
    <t>宣伝美術</t>
    <rPh sb="0" eb="4">
      <t>センデンビジュツ</t>
    </rPh>
    <phoneticPr fontId="2"/>
  </si>
  <si>
    <t>蒼樹とも</t>
    <rPh sb="0" eb="2">
      <t>アオキ</t>
    </rPh>
    <phoneticPr fontId="2"/>
  </si>
  <si>
    <t>〇</t>
    <phoneticPr fontId="2"/>
  </si>
  <si>
    <t>×</t>
    <phoneticPr fontId="2"/>
  </si>
  <si>
    <t>18～</t>
    <phoneticPr fontId="2"/>
  </si>
  <si>
    <t>18:30～</t>
    <phoneticPr fontId="2"/>
  </si>
  <si>
    <t>舞台</t>
    <rPh sb="0" eb="2">
      <t>ブタイ</t>
    </rPh>
    <phoneticPr fontId="2"/>
  </si>
  <si>
    <t>人員</t>
    <rPh sb="0" eb="2">
      <t>ジンイン</t>
    </rPh>
    <phoneticPr fontId="2"/>
  </si>
  <si>
    <t>団体名</t>
    <rPh sb="0" eb="3">
      <t>ダンタイメイ</t>
    </rPh>
    <phoneticPr fontId="2"/>
  </si>
  <si>
    <t>公演名</t>
    <rPh sb="0" eb="3">
      <t>コウエンメイ</t>
    </rPh>
    <phoneticPr fontId="2"/>
  </si>
  <si>
    <t>小屋入り期間</t>
    <rPh sb="0" eb="3">
      <t>コヤイ</t>
    </rPh>
    <rPh sb="4" eb="6">
      <t>キカン</t>
    </rPh>
    <phoneticPr fontId="2"/>
  </si>
  <si>
    <t>公演期間</t>
    <rPh sb="0" eb="4">
      <t>コウエンキカン</t>
    </rPh>
    <phoneticPr fontId="2"/>
  </si>
  <si>
    <t>公演設定</t>
    <rPh sb="0" eb="4">
      <t>コウエンセッテイ</t>
    </rPh>
    <phoneticPr fontId="2"/>
  </si>
  <si>
    <t>緊急連絡先</t>
    <rPh sb="0" eb="4">
      <t>キンキュウレンラク</t>
    </rPh>
    <rPh sb="4" eb="5">
      <t>サキ</t>
    </rPh>
    <phoneticPr fontId="2"/>
  </si>
  <si>
    <t>蒼樹とも（舞台監督）</t>
    <rPh sb="0" eb="2">
      <t>アオキ</t>
    </rPh>
    <rPh sb="5" eb="9">
      <t>ブタイカントク</t>
    </rPh>
    <phoneticPr fontId="2"/>
  </si>
  <si>
    <t>090-1711-3264</t>
    <phoneticPr fontId="2"/>
  </si>
  <si>
    <t>休憩</t>
    <rPh sb="0" eb="2">
      <t>キュウケイ</t>
    </rPh>
    <phoneticPr fontId="2"/>
  </si>
  <si>
    <t>音照</t>
    <rPh sb="0" eb="1">
      <t>オト</t>
    </rPh>
    <rPh sb="1" eb="2">
      <t>ショウ</t>
    </rPh>
    <phoneticPr fontId="2"/>
  </si>
  <si>
    <t>スタッフ</t>
    <phoneticPr fontId="2"/>
  </si>
  <si>
    <t>トラシュ</t>
    <phoneticPr fontId="2"/>
  </si>
  <si>
    <t>1st（2h）</t>
    <phoneticPr fontId="2"/>
  </si>
  <si>
    <t>2st（2h）</t>
    <phoneticPr fontId="2"/>
  </si>
  <si>
    <t>撤収</t>
    <rPh sb="0" eb="2">
      <t>テッシュウ</t>
    </rPh>
    <phoneticPr fontId="2"/>
  </si>
  <si>
    <t>雑務</t>
    <phoneticPr fontId="2"/>
  </si>
  <si>
    <t>3st（2h）</t>
    <phoneticPr fontId="2"/>
  </si>
  <si>
    <t>4st（2h）</t>
    <phoneticPr fontId="2"/>
  </si>
  <si>
    <t>バラシ</t>
    <phoneticPr fontId="2"/>
  </si>
  <si>
    <t>前原A僚太</t>
    <phoneticPr fontId="2"/>
  </si>
  <si>
    <t>北風ゆうたろう</t>
    <rPh sb="0" eb="2">
      <t>キタカゼ</t>
    </rPh>
    <phoneticPr fontId="2"/>
  </si>
  <si>
    <t>N碕</t>
    <rPh sb="1" eb="2">
      <t>サキ</t>
    </rPh>
    <phoneticPr fontId="2"/>
  </si>
  <si>
    <t>齋藤大輝</t>
    <rPh sb="0" eb="2">
      <t>サイトウ</t>
    </rPh>
    <rPh sb="2" eb="4">
      <t>タイキ</t>
    </rPh>
    <phoneticPr fontId="2"/>
  </si>
  <si>
    <t>岡田萌</t>
    <phoneticPr fontId="2"/>
  </si>
  <si>
    <t>葵</t>
    <phoneticPr fontId="2"/>
  </si>
  <si>
    <t>わざさん</t>
    <phoneticPr fontId="2"/>
  </si>
  <si>
    <t>前原A僚太</t>
    <rPh sb="0" eb="2">
      <t>マエバラ</t>
    </rPh>
    <rPh sb="3" eb="5">
      <t>リョウタ</t>
    </rPh>
    <phoneticPr fontId="2"/>
  </si>
  <si>
    <t>春田ひなの</t>
    <phoneticPr fontId="2"/>
  </si>
  <si>
    <t>すみほのか</t>
    <phoneticPr fontId="2"/>
  </si>
  <si>
    <t>古川詠介</t>
    <rPh sb="0" eb="2">
      <t>フルカワ</t>
    </rPh>
    <rPh sb="2" eb="3">
      <t>エイ</t>
    </rPh>
    <rPh sb="3" eb="4">
      <t>カイ</t>
    </rPh>
    <phoneticPr fontId="2"/>
  </si>
  <si>
    <t>16～</t>
    <phoneticPr fontId="2"/>
  </si>
  <si>
    <t>10～17:45</t>
    <phoneticPr fontId="2"/>
  </si>
  <si>
    <t>19:30～</t>
    <phoneticPr fontId="2"/>
  </si>
  <si>
    <t>12～</t>
    <phoneticPr fontId="2"/>
  </si>
  <si>
    <t>客出し</t>
    <rPh sb="0" eb="2">
      <t>キャクダ</t>
    </rPh>
    <phoneticPr fontId="2"/>
  </si>
  <si>
    <t>撮影</t>
    <rPh sb="0" eb="2">
      <t>サツエイ</t>
    </rPh>
    <phoneticPr fontId="2"/>
  </si>
  <si>
    <t>5st（2h）</t>
    <phoneticPr fontId="2"/>
  </si>
  <si>
    <t>5st 客入れ（30m）</t>
    <rPh sb="5" eb="6">
      <t>イ</t>
    </rPh>
    <phoneticPr fontId="2"/>
  </si>
  <si>
    <t>客出し</t>
    <phoneticPr fontId="2"/>
  </si>
  <si>
    <t>4st 客入れ（30m）</t>
    <rPh sb="5" eb="6">
      <t>イ</t>
    </rPh>
    <phoneticPr fontId="2"/>
  </si>
  <si>
    <t>アップ・本番準備
本番前集合（10:50）</t>
    <phoneticPr fontId="2"/>
  </si>
  <si>
    <t>休憩
本番準備
本番前集合（14:20）</t>
    <rPh sb="0" eb="2">
      <t>キュウケイ</t>
    </rPh>
    <rPh sb="3" eb="7">
      <t>ホンバンジュンビ</t>
    </rPh>
    <rPh sb="8" eb="13">
      <t>ホンバンマエシュウゴウ</t>
    </rPh>
    <phoneticPr fontId="2"/>
  </si>
  <si>
    <t>3/29（日）</t>
    <rPh sb="5" eb="6">
      <t>ニチ</t>
    </rPh>
    <phoneticPr fontId="2"/>
  </si>
  <si>
    <t>演劇UNIT WAN-WAN BOTAN</t>
    <rPh sb="0" eb="2">
      <t>エンゲキ</t>
    </rPh>
    <phoneticPr fontId="2"/>
  </si>
  <si>
    <t>卒業</t>
    <rPh sb="0" eb="2">
      <t>ソツギョウ</t>
    </rPh>
    <phoneticPr fontId="2"/>
  </si>
  <si>
    <t>3/24（火） ～ 3/29（日）</t>
    <rPh sb="5" eb="6">
      <t>ヒ</t>
    </rPh>
    <rPh sb="15" eb="16">
      <t>ニチ</t>
    </rPh>
    <phoneticPr fontId="2"/>
  </si>
  <si>
    <t>3/28（土） ～ 3/29（日）</t>
    <rPh sb="5" eb="6">
      <t>ツチ</t>
    </rPh>
    <rPh sb="15" eb="16">
      <t>ニチ</t>
    </rPh>
    <phoneticPr fontId="2"/>
  </si>
  <si>
    <t>5st : 3/29（日）15:00</t>
    <rPh sb="11" eb="12">
      <t>ニチ</t>
    </rPh>
    <phoneticPr fontId="2"/>
  </si>
  <si>
    <t>3st : 3/28（土）18:30 / 4st : 3/29（日）11:30</t>
    <rPh sb="11" eb="12">
      <t>ツチ</t>
    </rPh>
    <phoneticPr fontId="2"/>
  </si>
  <si>
    <t>1st : 3/28（土）11:30 / 2st : 3/28（土）15:00</t>
    <rPh sb="11" eb="12">
      <t>ツチ</t>
    </rPh>
    <rPh sb="32" eb="33">
      <t>ツチ</t>
    </rPh>
    <phoneticPr fontId="2"/>
  </si>
  <si>
    <t>3st 客入れ（30m）</t>
    <rPh sb="5" eb="6">
      <t>イ</t>
    </rPh>
    <phoneticPr fontId="2"/>
  </si>
  <si>
    <t>2st 客入れ（30m）</t>
    <rPh sb="5" eb="6">
      <t>イ</t>
    </rPh>
    <phoneticPr fontId="2"/>
  </si>
  <si>
    <t>休憩
トラシュ・本番準備
本番前集合（14:20）</t>
    <rPh sb="0" eb="2">
      <t>キュウケイ</t>
    </rPh>
    <rPh sb="8" eb="12">
      <t>ホンバンジュンビ</t>
    </rPh>
    <rPh sb="13" eb="18">
      <t>ホンバンマエシュウゴウ</t>
    </rPh>
    <phoneticPr fontId="2"/>
  </si>
  <si>
    <t>休憩
トラシュ・本番準備
本番前集合（17:50）</t>
    <rPh sb="0" eb="2">
      <t>キュウケイ</t>
    </rPh>
    <rPh sb="8" eb="12">
      <t>ホンバンジュンビ</t>
    </rPh>
    <rPh sb="13" eb="18">
      <t>ホンバンマエシュウゴウ</t>
    </rPh>
    <phoneticPr fontId="2"/>
  </si>
  <si>
    <t>1st 客入れ（30m）</t>
    <rPh sb="5" eb="6">
      <t>イ</t>
    </rPh>
    <phoneticPr fontId="2"/>
  </si>
  <si>
    <t>返し・撤収</t>
    <rPh sb="0" eb="1">
      <t>カエ</t>
    </rPh>
    <rPh sb="3" eb="5">
      <t>テッシュウ</t>
    </rPh>
    <phoneticPr fontId="2"/>
  </si>
  <si>
    <t>3/28（土）</t>
    <rPh sb="5" eb="6">
      <t>ツチ</t>
    </rPh>
    <phoneticPr fontId="2"/>
  </si>
  <si>
    <t>3/27（金）</t>
    <rPh sb="5" eb="6">
      <t>キン</t>
    </rPh>
    <phoneticPr fontId="2"/>
  </si>
  <si>
    <t>※24〜26のうち1日は終日空けられる</t>
    <phoneticPr fontId="2"/>
  </si>
  <si>
    <t>※火〜木は曜日指定あれば早め参加に調整可</t>
    <phoneticPr fontId="2"/>
  </si>
  <si>
    <t>※残業で遅れる可能性あり</t>
    <phoneticPr fontId="2"/>
  </si>
  <si>
    <t>19～※</t>
    <phoneticPr fontId="2"/>
  </si>
  <si>
    <t>残業で遅れる可能性あり</t>
    <phoneticPr fontId="2"/>
  </si>
  <si>
    <t>19:30～※</t>
    <phoneticPr fontId="2"/>
  </si>
  <si>
    <t>※変動の可能性あり</t>
    <rPh sb="4" eb="7">
      <t>カノウセイ</t>
    </rPh>
    <phoneticPr fontId="2"/>
  </si>
  <si>
    <t>13～19※</t>
    <phoneticPr fontId="2"/>
  </si>
  <si>
    <t>3/24（火）</t>
    <rPh sb="5" eb="6">
      <t>ヒ</t>
    </rPh>
    <phoneticPr fontId="2"/>
  </si>
  <si>
    <t>搬入 / 舞台場ミリ
床シート設営</t>
    <rPh sb="11" eb="12">
      <t>ユカ</t>
    </rPh>
    <rPh sb="15" eb="17">
      <t>セツエイ</t>
    </rPh>
    <phoneticPr fontId="2"/>
  </si>
  <si>
    <t>床シート設置</t>
    <rPh sb="0" eb="1">
      <t>ユカ</t>
    </rPh>
    <rPh sb="4" eb="6">
      <t>セッチ</t>
    </rPh>
    <phoneticPr fontId="2"/>
  </si>
  <si>
    <t>パネル設営</t>
    <rPh sb="3" eb="5">
      <t>セツエイ</t>
    </rPh>
    <phoneticPr fontId="2"/>
  </si>
  <si>
    <t>建具設営
（ドア、窓）</t>
    <phoneticPr fontId="2"/>
  </si>
  <si>
    <t>平台設営</t>
    <rPh sb="0" eb="4">
      <t>ヒラダイセツエイ</t>
    </rPh>
    <phoneticPr fontId="2"/>
  </si>
  <si>
    <t>建具設営
（窓、壁掛け、ロッカー、スロープ）</t>
    <rPh sb="8" eb="10">
      <t>カベカ</t>
    </rPh>
    <phoneticPr fontId="2"/>
  </si>
  <si>
    <t>3/25（水）</t>
    <rPh sb="5" eb="6">
      <t>ミズ</t>
    </rPh>
    <phoneticPr fontId="2"/>
  </si>
  <si>
    <t>3/26（木）</t>
    <rPh sb="5" eb="6">
      <t>モク</t>
    </rPh>
    <phoneticPr fontId="2"/>
  </si>
  <si>
    <t xml:space="preserve">
蒼樹、斎藤</t>
    <rPh sb="1" eb="3">
      <t>アオキ</t>
    </rPh>
    <rPh sb="4" eb="6">
      <t>サイトウ</t>
    </rPh>
    <phoneticPr fontId="2"/>
  </si>
  <si>
    <r>
      <rPr>
        <sz val="8"/>
        <color rgb="FFFF0000"/>
        <rFont val="Yu Gothic"/>
        <family val="3"/>
        <charset val="128"/>
        <scheme val="minor"/>
      </rPr>
      <t>前原</t>
    </r>
    <r>
      <rPr>
        <sz val="8"/>
        <rFont val="Yu Gothic"/>
        <family val="3"/>
        <charset val="128"/>
        <scheme val="minor"/>
      </rPr>
      <t xml:space="preserve">
蒼樹、斎藤</t>
    </r>
    <phoneticPr fontId="2"/>
  </si>
  <si>
    <r>
      <t>前原、わぎ、</t>
    </r>
    <r>
      <rPr>
        <sz val="8"/>
        <color rgb="FFFF0000"/>
        <rFont val="Yu Gothic"/>
        <family val="3"/>
        <charset val="128"/>
        <scheme val="minor"/>
      </rPr>
      <t>すみ</t>
    </r>
    <r>
      <rPr>
        <sz val="8"/>
        <rFont val="Yu Gothic"/>
        <family val="3"/>
        <charset val="128"/>
        <scheme val="minor"/>
      </rPr>
      <t xml:space="preserve">
蒼樹</t>
    </r>
    <phoneticPr fontId="2"/>
  </si>
  <si>
    <r>
      <t>前原、わぎ、すみ
蒼樹、</t>
    </r>
    <r>
      <rPr>
        <sz val="8"/>
        <color rgb="FFFF0000"/>
        <rFont val="Yu Gothic"/>
        <family val="3"/>
        <charset val="128"/>
        <scheme val="minor"/>
      </rPr>
      <t>N碕</t>
    </r>
    <rPh sb="0" eb="2">
      <t>マエバラ</t>
    </rPh>
    <rPh sb="9" eb="11">
      <t>アオキ</t>
    </rPh>
    <rPh sb="13" eb="14">
      <t>サキ</t>
    </rPh>
    <phoneticPr fontId="2"/>
  </si>
  <si>
    <r>
      <t>前原、わぎ、すみ
蒼樹、N碕、</t>
    </r>
    <r>
      <rPr>
        <sz val="8"/>
        <color rgb="FFFF0000"/>
        <rFont val="Yu Gothic"/>
        <family val="3"/>
        <charset val="128"/>
        <scheme val="minor"/>
      </rPr>
      <t>葵</t>
    </r>
    <rPh sb="0" eb="2">
      <t>マエバラ</t>
    </rPh>
    <rPh sb="9" eb="11">
      <t>アオキ</t>
    </rPh>
    <rPh sb="13" eb="14">
      <t>サキ</t>
    </rPh>
    <rPh sb="15" eb="16">
      <t>アオイ</t>
    </rPh>
    <phoneticPr fontId="2"/>
  </si>
  <si>
    <t>前原、わぎ、すみ
蒼樹、N碕、葵</t>
    <phoneticPr fontId="2"/>
  </si>
  <si>
    <t xml:space="preserve">
斎藤</t>
    <rPh sb="1" eb="3">
      <t>サイトウ</t>
    </rPh>
    <phoneticPr fontId="2"/>
  </si>
  <si>
    <r>
      <t xml:space="preserve">
斎藤、</t>
    </r>
    <r>
      <rPr>
        <sz val="8"/>
        <color rgb="FFFF0000"/>
        <rFont val="Yu Gothic"/>
        <family val="3"/>
        <charset val="128"/>
        <scheme val="minor"/>
      </rPr>
      <t>岡田</t>
    </r>
    <rPh sb="4" eb="6">
      <t>オカダ</t>
    </rPh>
    <phoneticPr fontId="2"/>
  </si>
  <si>
    <r>
      <rPr>
        <sz val="8"/>
        <color rgb="FFFF0000"/>
        <rFont val="Yu Gothic"/>
        <family val="3"/>
        <charset val="128"/>
        <scheme val="minor"/>
      </rPr>
      <t>前原</t>
    </r>
    <r>
      <rPr>
        <sz val="8"/>
        <rFont val="Yu Gothic"/>
        <family val="3"/>
        <charset val="128"/>
        <scheme val="minor"/>
      </rPr>
      <t xml:space="preserve">
斎藤、岡田</t>
    </r>
    <rPh sb="0" eb="2">
      <t>マエハラ</t>
    </rPh>
    <phoneticPr fontId="2"/>
  </si>
  <si>
    <r>
      <t>前原、</t>
    </r>
    <r>
      <rPr>
        <sz val="8"/>
        <color rgb="FFFF0000"/>
        <rFont val="Yu Gothic"/>
        <family val="3"/>
        <charset val="128"/>
        <scheme val="minor"/>
      </rPr>
      <t>わぎ</t>
    </r>
    <r>
      <rPr>
        <sz val="8"/>
        <rFont val="Yu Gothic"/>
        <family val="3"/>
        <charset val="128"/>
        <scheme val="minor"/>
      </rPr>
      <t xml:space="preserve">
斎藤、岡田</t>
    </r>
    <phoneticPr fontId="2"/>
  </si>
  <si>
    <r>
      <t>前原、わぎ、</t>
    </r>
    <r>
      <rPr>
        <sz val="8"/>
        <color rgb="FFFF0000"/>
        <rFont val="Yu Gothic"/>
        <family val="3"/>
        <charset val="128"/>
        <scheme val="minor"/>
      </rPr>
      <t>すみ</t>
    </r>
    <r>
      <rPr>
        <sz val="8"/>
        <rFont val="Yu Gothic"/>
        <family val="3"/>
        <charset val="128"/>
        <scheme val="minor"/>
      </rPr>
      <t xml:space="preserve">
斎藤、岡田</t>
    </r>
    <phoneticPr fontId="2"/>
  </si>
  <si>
    <r>
      <t>前原、わぎ、すみ
斎藤、岡田、</t>
    </r>
    <r>
      <rPr>
        <sz val="8"/>
        <color rgb="FFFF0000"/>
        <rFont val="Yu Gothic"/>
        <family val="3"/>
        <charset val="128"/>
        <scheme val="minor"/>
      </rPr>
      <t>N碕</t>
    </r>
    <rPh sb="16" eb="17">
      <t>サキ</t>
    </rPh>
    <phoneticPr fontId="2"/>
  </si>
  <si>
    <t>前原、わぎ、すみ
斎藤、岡田、N碕、蒼樹、葵</t>
    <phoneticPr fontId="2"/>
  </si>
  <si>
    <r>
      <t xml:space="preserve">
斎藤、</t>
    </r>
    <r>
      <rPr>
        <sz val="8"/>
        <rFont val="Yu Gothic"/>
        <family val="3"/>
        <charset val="128"/>
        <scheme val="minor"/>
      </rPr>
      <t>岡田</t>
    </r>
    <rPh sb="4" eb="6">
      <t>オカダ</t>
    </rPh>
    <phoneticPr fontId="2"/>
  </si>
  <si>
    <r>
      <rPr>
        <sz val="8"/>
        <color rgb="FFFF0000"/>
        <rFont val="Yu Gothic"/>
        <family val="3"/>
        <charset val="128"/>
        <scheme val="minor"/>
      </rPr>
      <t>春田</t>
    </r>
    <r>
      <rPr>
        <sz val="8"/>
        <color theme="1"/>
        <rFont val="Yu Gothic"/>
        <family val="3"/>
        <charset val="128"/>
        <scheme val="minor"/>
      </rPr>
      <t xml:space="preserve">
斎藤、岡田</t>
    </r>
    <rPh sb="0" eb="2">
      <t>ハルタ</t>
    </rPh>
    <phoneticPr fontId="2"/>
  </si>
  <si>
    <r>
      <t>春田、</t>
    </r>
    <r>
      <rPr>
        <sz val="8"/>
        <color rgb="FFFF0000"/>
        <rFont val="Yu Gothic"/>
        <family val="3"/>
        <charset val="128"/>
        <scheme val="minor"/>
      </rPr>
      <t>前原</t>
    </r>
    <r>
      <rPr>
        <sz val="8"/>
        <rFont val="Yu Gothic"/>
        <family val="3"/>
        <charset val="128"/>
        <scheme val="minor"/>
      </rPr>
      <t xml:space="preserve">
斎藤、岡田</t>
    </r>
    <rPh sb="3" eb="5">
      <t>マエハラ</t>
    </rPh>
    <phoneticPr fontId="2"/>
  </si>
  <si>
    <r>
      <t>春田、前原、</t>
    </r>
    <r>
      <rPr>
        <sz val="8"/>
        <color rgb="FFFF0000"/>
        <rFont val="Yu Gothic"/>
        <family val="3"/>
        <charset val="128"/>
        <scheme val="minor"/>
      </rPr>
      <t>わぎ</t>
    </r>
    <r>
      <rPr>
        <sz val="8"/>
        <rFont val="Yu Gothic"/>
        <family val="3"/>
        <charset val="128"/>
        <scheme val="minor"/>
      </rPr>
      <t xml:space="preserve">
斎藤、岡田</t>
    </r>
    <phoneticPr fontId="2"/>
  </si>
  <si>
    <r>
      <t>春田、前原、わぎ、</t>
    </r>
    <r>
      <rPr>
        <sz val="8"/>
        <color rgb="FFFF0000"/>
        <rFont val="Yu Gothic"/>
        <family val="3"/>
        <charset val="128"/>
        <scheme val="minor"/>
      </rPr>
      <t>すみ</t>
    </r>
    <r>
      <rPr>
        <sz val="8"/>
        <rFont val="Yu Gothic"/>
        <family val="3"/>
        <charset val="128"/>
        <scheme val="minor"/>
      </rPr>
      <t xml:space="preserve">
斎藤、岡田</t>
    </r>
    <phoneticPr fontId="2"/>
  </si>
  <si>
    <r>
      <t>前原、</t>
    </r>
    <r>
      <rPr>
        <sz val="8"/>
        <color rgb="FFFF0000"/>
        <rFont val="Yu Gothic"/>
        <family val="3"/>
        <charset val="128"/>
        <scheme val="minor"/>
      </rPr>
      <t xml:space="preserve">わぎ
</t>
    </r>
    <r>
      <rPr>
        <sz val="8"/>
        <rFont val="Yu Gothic"/>
        <family val="3"/>
        <charset val="128"/>
        <scheme val="minor"/>
      </rPr>
      <t>蒼樹、</t>
    </r>
    <r>
      <rPr>
        <strike/>
        <sz val="8"/>
        <rFont val="Yu Gothic"/>
        <family val="3"/>
        <charset val="128"/>
        <scheme val="minor"/>
      </rPr>
      <t>斎藤</t>
    </r>
    <rPh sb="9" eb="11">
      <t>サイトウ</t>
    </rPh>
    <phoneticPr fontId="2"/>
  </si>
  <si>
    <r>
      <t>前原、わぎ、すみ
斎藤、岡田、N碕、</t>
    </r>
    <r>
      <rPr>
        <sz val="8"/>
        <color rgb="FFFF0000"/>
        <rFont val="Yu Gothic"/>
        <family val="3"/>
        <charset val="128"/>
        <scheme val="minor"/>
      </rPr>
      <t>蒼樹、葵</t>
    </r>
    <rPh sb="18" eb="20">
      <t>アオキ</t>
    </rPh>
    <rPh sb="21" eb="22">
      <t>アオイ</t>
    </rPh>
    <phoneticPr fontId="2"/>
  </si>
  <si>
    <t>灯体準備・吊り込み</t>
    <phoneticPr fontId="2"/>
  </si>
  <si>
    <t>吊り込み・結線</t>
    <phoneticPr fontId="2"/>
  </si>
  <si>
    <t>点灯チェック・手直し</t>
    <rPh sb="7" eb="9">
      <t>テナオ</t>
    </rPh>
    <phoneticPr fontId="2"/>
  </si>
  <si>
    <t>卓仕込み</t>
    <phoneticPr fontId="2"/>
  </si>
  <si>
    <t>20～※</t>
    <phoneticPr fontId="2"/>
  </si>
  <si>
    <r>
      <rPr>
        <strike/>
        <sz val="8"/>
        <rFont val="Yu Gothic"/>
        <family val="3"/>
        <charset val="128"/>
        <scheme val="minor"/>
      </rPr>
      <t>春田</t>
    </r>
    <r>
      <rPr>
        <sz val="8"/>
        <rFont val="Yu Gothic"/>
        <family val="3"/>
        <charset val="128"/>
        <scheme val="minor"/>
      </rPr>
      <t>、前原、わぎ、すみ
斎藤、岡田</t>
    </r>
    <phoneticPr fontId="2"/>
  </si>
  <si>
    <r>
      <t>前原、わぎ、すみ
斎藤、岡田、</t>
    </r>
    <r>
      <rPr>
        <sz val="8"/>
        <color rgb="FFFF0000"/>
        <rFont val="Yu Gothic"/>
        <family val="3"/>
        <charset val="128"/>
        <scheme val="minor"/>
      </rPr>
      <t>蒼樹、葵</t>
    </r>
    <rPh sb="15" eb="17">
      <t>アオキ</t>
    </rPh>
    <rPh sb="18" eb="19">
      <t>アオイ</t>
    </rPh>
    <phoneticPr fontId="2"/>
  </si>
  <si>
    <t>前原、わぎ、すみ
斎藤、岡田、蒼樹、葵、N碕</t>
    <phoneticPr fontId="2"/>
  </si>
  <si>
    <r>
      <t>前原、わぎ、すみ
斎藤、岡田、蒼樹、葵</t>
    </r>
    <r>
      <rPr>
        <sz val="8"/>
        <color rgb="FFFF0000"/>
        <rFont val="Yu Gothic"/>
        <family val="3"/>
        <charset val="128"/>
        <scheme val="minor"/>
      </rPr>
      <t>、N碕</t>
    </r>
    <phoneticPr fontId="2"/>
  </si>
  <si>
    <t>手直し</t>
    <phoneticPr fontId="2"/>
  </si>
  <si>
    <t>前原、わぎ
北風、蒼樹、N碕、斎藤、葵</t>
    <rPh sb="0" eb="2">
      <t>マエハラ</t>
    </rPh>
    <rPh sb="6" eb="8">
      <t>キタカゼ</t>
    </rPh>
    <rPh sb="9" eb="11">
      <t>アオキ</t>
    </rPh>
    <rPh sb="13" eb="14">
      <t>サキ</t>
    </rPh>
    <rPh sb="15" eb="17">
      <t>サイトウ</t>
    </rPh>
    <rPh sb="18" eb="19">
      <t>アオイ</t>
    </rPh>
    <phoneticPr fontId="2"/>
  </si>
  <si>
    <r>
      <t>前原、わぎ、</t>
    </r>
    <r>
      <rPr>
        <sz val="8"/>
        <color rgb="FFFF0000"/>
        <rFont val="Yu Gothic"/>
        <family val="3"/>
        <charset val="128"/>
        <scheme val="minor"/>
      </rPr>
      <t>すみ、古川</t>
    </r>
    <r>
      <rPr>
        <sz val="8"/>
        <color theme="1"/>
        <rFont val="Yu Gothic"/>
        <family val="3"/>
        <charset val="128"/>
        <scheme val="minor"/>
      </rPr>
      <t xml:space="preserve">
北風、蒼樹、N碕、斎藤、葵</t>
    </r>
    <rPh sb="9" eb="11">
      <t>フルカワ</t>
    </rPh>
    <phoneticPr fontId="2"/>
  </si>
  <si>
    <r>
      <t>前原、わぎ、すみ、古川、</t>
    </r>
    <r>
      <rPr>
        <sz val="8"/>
        <color rgb="FFFF0000"/>
        <rFont val="Yu Gothic"/>
        <family val="3"/>
        <charset val="128"/>
        <scheme val="minor"/>
      </rPr>
      <t>春田</t>
    </r>
    <r>
      <rPr>
        <sz val="8"/>
        <color theme="1"/>
        <rFont val="Yu Gothic"/>
        <family val="3"/>
        <charset val="128"/>
        <scheme val="minor"/>
      </rPr>
      <t xml:space="preserve">
北風、蒼樹、N碕、斎藤、葵</t>
    </r>
    <rPh sb="12" eb="14">
      <t>ハルタ</t>
    </rPh>
    <phoneticPr fontId="2"/>
  </si>
  <si>
    <r>
      <t>前原、わぎ、すみ、古川、春田
北風、蒼樹、N碕、斎藤、葵、</t>
    </r>
    <r>
      <rPr>
        <sz val="8"/>
        <color rgb="FFFF0000"/>
        <rFont val="Yu Gothic"/>
        <family val="3"/>
        <charset val="128"/>
        <scheme val="minor"/>
      </rPr>
      <t>岡田</t>
    </r>
    <rPh sb="0" eb="2">
      <t>マエハラ</t>
    </rPh>
    <rPh sb="9" eb="11">
      <t>フルカワ</t>
    </rPh>
    <rPh sb="12" eb="14">
      <t>ハルタ</t>
    </rPh>
    <rPh sb="15" eb="17">
      <t>キタカゼ</t>
    </rPh>
    <rPh sb="18" eb="20">
      <t>アオキ</t>
    </rPh>
    <rPh sb="22" eb="23">
      <t>サキ</t>
    </rPh>
    <rPh sb="24" eb="26">
      <t>サイトウ</t>
    </rPh>
    <rPh sb="27" eb="28">
      <t>アオイ</t>
    </rPh>
    <rPh sb="29" eb="31">
      <t>オカダ</t>
    </rPh>
    <phoneticPr fontId="2"/>
  </si>
  <si>
    <r>
      <t>前原、わぎ、すみ、古川、</t>
    </r>
    <r>
      <rPr>
        <strike/>
        <sz val="8"/>
        <rFont val="Yu Gothic"/>
        <family val="3"/>
        <charset val="128"/>
        <scheme val="minor"/>
      </rPr>
      <t>春田</t>
    </r>
    <r>
      <rPr>
        <sz val="8"/>
        <rFont val="Yu Gothic"/>
        <family val="3"/>
        <charset val="128"/>
        <scheme val="minor"/>
      </rPr>
      <t xml:space="preserve">
北風、蒼樹、N碕、斎藤、葵、岡田</t>
    </r>
    <phoneticPr fontId="2"/>
  </si>
  <si>
    <t>前原、わぎ、すみ、古川
北風、蒼樹、N碕、斎藤、葵、岡田</t>
    <phoneticPr fontId="2"/>
  </si>
  <si>
    <t>音照</t>
    <rPh sb="0" eb="1">
      <t>オン</t>
    </rPh>
    <rPh sb="1" eb="2">
      <t>ショウ</t>
    </rPh>
    <phoneticPr fontId="2"/>
  </si>
  <si>
    <t>きっかけ準備・アップ
暗転チェック・蓄光</t>
    <rPh sb="4" eb="6">
      <t>ジュンビ</t>
    </rPh>
    <rPh sb="11" eb="13">
      <t>アンテン</t>
    </rPh>
    <rPh sb="18" eb="20">
      <t>チッコウ</t>
    </rPh>
    <phoneticPr fontId="2"/>
  </si>
  <si>
    <t>場当たり</t>
    <rPh sb="0" eb="2">
      <t>バア</t>
    </rPh>
    <phoneticPr fontId="2"/>
  </si>
  <si>
    <t>機材準備</t>
    <rPh sb="0" eb="2">
      <t>キザイ</t>
    </rPh>
    <rPh sb="2" eb="4">
      <t>ジュンビ</t>
    </rPh>
    <phoneticPr fontId="2"/>
  </si>
  <si>
    <t>撮影・雑務</t>
    <rPh sb="0" eb="2">
      <t>サツエイ</t>
    </rPh>
    <rPh sb="3" eb="5">
      <t>ザツム</t>
    </rPh>
    <phoneticPr fontId="2"/>
  </si>
  <si>
    <t>音照</t>
    <phoneticPr fontId="2"/>
  </si>
  <si>
    <t>撮影・制作雑務</t>
    <rPh sb="0" eb="2">
      <t>サツエイ</t>
    </rPh>
    <rPh sb="3" eb="5">
      <t>セイサク</t>
    </rPh>
    <rPh sb="5" eb="7">
      <t>ザツム</t>
    </rPh>
    <phoneticPr fontId="2"/>
  </si>
  <si>
    <t>休憩・ゲネ準備
ゲネ前集合（16:50）</t>
    <rPh sb="0" eb="2">
      <t>キュウケイ</t>
    </rPh>
    <rPh sb="5" eb="7">
      <t>ジュンビ</t>
    </rPh>
    <phoneticPr fontId="2"/>
  </si>
  <si>
    <t>機材準備・簡易客席準備
休憩</t>
    <rPh sb="0" eb="2">
      <t>キザイ</t>
    </rPh>
    <rPh sb="2" eb="4">
      <t>ジュンビ</t>
    </rPh>
    <rPh sb="5" eb="7">
      <t>カンイ</t>
    </rPh>
    <rPh sb="7" eb="9">
      <t>キャクセキ</t>
    </rPh>
    <rPh sb="9" eb="11">
      <t>ジュンビ</t>
    </rPh>
    <rPh sb="12" eb="14">
      <t>キュウケイ</t>
    </rPh>
    <phoneticPr fontId="2"/>
  </si>
  <si>
    <t>ゲネ（2h）
※客入れ時間を取るなら、少し早めに</t>
    <rPh sb="8" eb="10">
      <t>キャクイ</t>
    </rPh>
    <rPh sb="11" eb="13">
      <t>ジカン</t>
    </rPh>
    <rPh sb="14" eb="15">
      <t>ト</t>
    </rPh>
    <rPh sb="19" eb="20">
      <t>スコ</t>
    </rPh>
    <rPh sb="21" eb="22">
      <t>ハヤ</t>
    </rPh>
    <phoneticPr fontId="2"/>
  </si>
  <si>
    <t>返し練</t>
    <rPh sb="0" eb="1">
      <t>カエ</t>
    </rPh>
    <rPh sb="2" eb="3">
      <t>レン</t>
    </rPh>
    <phoneticPr fontId="2"/>
  </si>
  <si>
    <t>客席準備・制作準備</t>
    <rPh sb="0" eb="2">
      <t>キャクセキ</t>
    </rPh>
    <rPh sb="2" eb="4">
      <t>ジュンビ</t>
    </rPh>
    <rPh sb="5" eb="7">
      <t>セイサク</t>
    </rPh>
    <rPh sb="7" eb="9">
      <t>ジュンビ</t>
    </rPh>
    <phoneticPr fontId="2"/>
  </si>
  <si>
    <t>点灯チェック・手直し</t>
    <phoneticPr fontId="2"/>
  </si>
  <si>
    <t>音響作業・照明補助</t>
    <rPh sb="0" eb="2">
      <t>オンキョウ</t>
    </rPh>
    <rPh sb="2" eb="4">
      <t>サギョウ</t>
    </rPh>
    <rPh sb="5" eb="7">
      <t>ショウメイ</t>
    </rPh>
    <rPh sb="7" eb="9">
      <t>ホジョ</t>
    </rPh>
    <phoneticPr fontId="2"/>
  </si>
  <si>
    <t>簡易場当たり？</t>
    <rPh sb="0" eb="2">
      <t>カンイ</t>
    </rPh>
    <rPh sb="2" eb="4">
      <t>バア</t>
    </rPh>
    <phoneticPr fontId="2"/>
  </si>
  <si>
    <t>手直し・簡易場当たり？</t>
    <rPh sb="4" eb="6">
      <t>カンイ</t>
    </rPh>
    <rPh sb="6" eb="8">
      <t>バア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</si>
</sst>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h:mm;@"/>
  </numFmts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8"/>
      <color rgb="FFFF0000"/>
      <name val="Yu Gothic"/>
      <family val="3"/>
      <charset val="128"/>
      <scheme val="minor"/>
    </font>
    <font>
      <sz val="8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trike/>
      <sz val="8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0" fontId="0" fillId="0" borderId="0" xfId="0" applyNumberFormat="1"/>
    <xf numFmtId="0" fontId="1" fillId="0" borderId="0" xfId="1">
      <alignment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4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0" xfId="0" applyNumberFormat="1" applyAlignment="1">
      <alignment horizontal="left" vertical="center" shrinkToFit="1"/>
    </xf>
    <xf numFmtId="0" fontId="4" fillId="0" borderId="9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77" fontId="0" fillId="2" borderId="8" xfId="0" applyNumberFormat="1" applyFill="1" applyBorder="1" applyAlignment="1">
      <alignment horizontal="left" vertical="center"/>
    </xf>
    <xf numFmtId="177" fontId="0" fillId="2" borderId="2" xfId="0" applyNumberFormat="1" applyFill="1" applyBorder="1" applyAlignment="1">
      <alignment horizontal="left" vertical="center"/>
    </xf>
    <xf numFmtId="177" fontId="0" fillId="2" borderId="5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3" borderId="16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26" xfId="0" applyFont="1" applyBorder="1" applyAlignment="1">
      <alignment vertical="top" wrapText="1"/>
    </xf>
    <xf numFmtId="0" fontId="4" fillId="3" borderId="7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44" xfId="0" applyFont="1" applyBorder="1" applyAlignment="1">
      <alignment vertical="top" wrapText="1"/>
    </xf>
    <xf numFmtId="0" fontId="8" fillId="0" borderId="43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top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</cellXfs>
  <cellStyles count="2">
    <cellStyle name="標準" xfId="0" builtinId="0"/>
    <cellStyle name="標準 2" xfId="1" xr:uid="{8B983879-BD1F-4AC7-B2DA-C1AE70645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9</xdr:row>
      <xdr:rowOff>236220</xdr:rowOff>
    </xdr:from>
    <xdr:to>
      <xdr:col>7</xdr:col>
      <xdr:colOff>266700</xdr:colOff>
      <xdr:row>9</xdr:row>
      <xdr:rowOff>243840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26D391D-525D-C0CF-D136-DD821FAF5763}"/>
            </a:ext>
          </a:extLst>
        </xdr:cNvPr>
        <xdr:cNvGrpSpPr/>
      </xdr:nvGrpSpPr>
      <xdr:grpSpPr>
        <a:xfrm>
          <a:off x="579120" y="2301240"/>
          <a:ext cx="1668780" cy="7620"/>
          <a:chOff x="853440" y="2072640"/>
          <a:chExt cx="1668780" cy="7620"/>
        </a:xfrm>
      </xdr:grpSpPr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9F85CDEC-B905-B28A-0080-263FE6E0CF33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9D2D6E56-43E5-3539-37BB-C5EFA1CE7B3A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9</xdr:row>
      <xdr:rowOff>190500</xdr:rowOff>
    </xdr:from>
    <xdr:to>
      <xdr:col>37</xdr:col>
      <xdr:colOff>259080</xdr:colOff>
      <xdr:row>9</xdr:row>
      <xdr:rowOff>198120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A4682B89-9BF4-4E85-A29D-5640EC01017B}"/>
            </a:ext>
          </a:extLst>
        </xdr:cNvPr>
        <xdr:cNvGrpSpPr/>
      </xdr:nvGrpSpPr>
      <xdr:grpSpPr>
        <a:xfrm>
          <a:off x="9029700" y="2255520"/>
          <a:ext cx="1668780" cy="7620"/>
          <a:chOff x="853440" y="2072640"/>
          <a:chExt cx="1668780" cy="7620"/>
        </a:xfrm>
      </xdr:grpSpPr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09946F43-ED34-4CC1-58F5-4220CE25EA51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直線矢印コネクタ 66">
            <a:extLst>
              <a:ext uri="{FF2B5EF4-FFF2-40B4-BE49-F238E27FC236}">
                <a16:creationId xmlns:a16="http://schemas.microsoft.com/office/drawing/2014/main" id="{D617A0BD-7437-633D-33C9-9D0E82872230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19</xdr:row>
      <xdr:rowOff>215900</xdr:rowOff>
    </xdr:from>
    <xdr:to>
      <xdr:col>7</xdr:col>
      <xdr:colOff>259080</xdr:colOff>
      <xdr:row>19</xdr:row>
      <xdr:rowOff>223520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E2AAC9A9-58D4-46EB-B2A6-A62938AC5D1C}"/>
            </a:ext>
          </a:extLst>
        </xdr:cNvPr>
        <xdr:cNvGrpSpPr/>
      </xdr:nvGrpSpPr>
      <xdr:grpSpPr>
        <a:xfrm>
          <a:off x="571500" y="5732780"/>
          <a:ext cx="1668780" cy="7620"/>
          <a:chOff x="853440" y="2072640"/>
          <a:chExt cx="1668780" cy="7620"/>
        </a:xfrm>
      </xdr:grpSpPr>
      <xdr:cxnSp macro="">
        <xdr:nvCxnSpPr>
          <xdr:cNvPr id="93" name="直線矢印コネクタ 92">
            <a:extLst>
              <a:ext uri="{FF2B5EF4-FFF2-40B4-BE49-F238E27FC236}">
                <a16:creationId xmlns:a16="http://schemas.microsoft.com/office/drawing/2014/main" id="{24DC1E48-6A07-AED8-4C49-180F6202A8BE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直線矢印コネクタ 93">
            <a:extLst>
              <a:ext uri="{FF2B5EF4-FFF2-40B4-BE49-F238E27FC236}">
                <a16:creationId xmlns:a16="http://schemas.microsoft.com/office/drawing/2014/main" id="{0165916F-0344-CBBC-8E36-3F7FB9DE6956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</xdr:row>
      <xdr:rowOff>215900</xdr:rowOff>
    </xdr:from>
    <xdr:to>
      <xdr:col>31</xdr:col>
      <xdr:colOff>236220</xdr:colOff>
      <xdr:row>9</xdr:row>
      <xdr:rowOff>223520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04F8D95E-94E6-4E27-A238-F64CF89F14B2}"/>
            </a:ext>
          </a:extLst>
        </xdr:cNvPr>
        <xdr:cNvGrpSpPr/>
      </xdr:nvGrpSpPr>
      <xdr:grpSpPr>
        <a:xfrm>
          <a:off x="2263140" y="2280920"/>
          <a:ext cx="6720840" cy="7620"/>
          <a:chOff x="853440" y="2072640"/>
          <a:chExt cx="6515347" cy="7620"/>
        </a:xfrm>
      </xdr:grpSpPr>
      <xdr:cxnSp macro="">
        <xdr:nvCxnSpPr>
          <xdr:cNvPr id="108" name="直線矢印コネクタ 107">
            <a:extLst>
              <a:ext uri="{FF2B5EF4-FFF2-40B4-BE49-F238E27FC236}">
                <a16:creationId xmlns:a16="http://schemas.microsoft.com/office/drawing/2014/main" id="{14F137CE-100F-5F4B-42F8-5D6300F45120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" name="直線矢印コネクタ 108">
            <a:extLst>
              <a:ext uri="{FF2B5EF4-FFF2-40B4-BE49-F238E27FC236}">
                <a16:creationId xmlns:a16="http://schemas.microsoft.com/office/drawing/2014/main" id="{A103CCA1-D885-8C7C-2B91-2A752B5A8DFA}"/>
              </a:ext>
            </a:extLst>
          </xdr:cNvPr>
          <xdr:cNvCxnSpPr/>
        </xdr:nvCxnSpPr>
        <xdr:spPr>
          <a:xfrm>
            <a:off x="5722867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19</xdr:row>
      <xdr:rowOff>215900</xdr:rowOff>
    </xdr:from>
    <xdr:to>
      <xdr:col>31</xdr:col>
      <xdr:colOff>236220</xdr:colOff>
      <xdr:row>19</xdr:row>
      <xdr:rowOff>223520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A7832CB8-CF28-4363-9DC8-8B6FBFCF0132}"/>
            </a:ext>
          </a:extLst>
        </xdr:cNvPr>
        <xdr:cNvGrpSpPr/>
      </xdr:nvGrpSpPr>
      <xdr:grpSpPr>
        <a:xfrm>
          <a:off x="2263140" y="5732780"/>
          <a:ext cx="6720840" cy="7620"/>
          <a:chOff x="853440" y="2072640"/>
          <a:chExt cx="6515347" cy="7620"/>
        </a:xfrm>
      </xdr:grpSpPr>
      <xdr:cxnSp macro="">
        <xdr:nvCxnSpPr>
          <xdr:cNvPr id="111" name="直線矢印コネクタ 110">
            <a:extLst>
              <a:ext uri="{FF2B5EF4-FFF2-40B4-BE49-F238E27FC236}">
                <a16:creationId xmlns:a16="http://schemas.microsoft.com/office/drawing/2014/main" id="{83881530-5383-175F-8986-31CA5FF5A1FA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" name="直線矢印コネクタ 111">
            <a:extLst>
              <a:ext uri="{FF2B5EF4-FFF2-40B4-BE49-F238E27FC236}">
                <a16:creationId xmlns:a16="http://schemas.microsoft.com/office/drawing/2014/main" id="{296475FF-39AC-11F9-F598-40913F57D436}"/>
              </a:ext>
            </a:extLst>
          </xdr:cNvPr>
          <xdr:cNvCxnSpPr/>
        </xdr:nvCxnSpPr>
        <xdr:spPr>
          <a:xfrm>
            <a:off x="5722867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19</xdr:row>
      <xdr:rowOff>190500</xdr:rowOff>
    </xdr:from>
    <xdr:to>
      <xdr:col>37</xdr:col>
      <xdr:colOff>259080</xdr:colOff>
      <xdr:row>19</xdr:row>
      <xdr:rowOff>198120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8FEF6DED-3152-40EF-9F89-D4E1CB2F37FA}"/>
            </a:ext>
          </a:extLst>
        </xdr:cNvPr>
        <xdr:cNvGrpSpPr/>
      </xdr:nvGrpSpPr>
      <xdr:grpSpPr>
        <a:xfrm>
          <a:off x="9029700" y="5707380"/>
          <a:ext cx="1668780" cy="7620"/>
          <a:chOff x="853440" y="2072640"/>
          <a:chExt cx="1668780" cy="7620"/>
        </a:xfrm>
      </xdr:grpSpPr>
      <xdr:cxnSp macro="">
        <xdr:nvCxnSpPr>
          <xdr:cNvPr id="114" name="直線矢印コネクタ 113">
            <a:extLst>
              <a:ext uri="{FF2B5EF4-FFF2-40B4-BE49-F238E27FC236}">
                <a16:creationId xmlns:a16="http://schemas.microsoft.com/office/drawing/2014/main" id="{7FE2E618-8076-C49F-9BB3-4214A32C4D36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" name="直線矢印コネクタ 114">
            <a:extLst>
              <a:ext uri="{FF2B5EF4-FFF2-40B4-BE49-F238E27FC236}">
                <a16:creationId xmlns:a16="http://schemas.microsoft.com/office/drawing/2014/main" id="{B157C4B2-0BD8-4682-53C1-7B1016496676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29</xdr:row>
      <xdr:rowOff>190500</xdr:rowOff>
    </xdr:from>
    <xdr:to>
      <xdr:col>7</xdr:col>
      <xdr:colOff>259080</xdr:colOff>
      <xdr:row>29</xdr:row>
      <xdr:rowOff>198120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D27B2ACE-60AF-4197-9421-D6FA3D3AEFF5}"/>
            </a:ext>
          </a:extLst>
        </xdr:cNvPr>
        <xdr:cNvGrpSpPr/>
      </xdr:nvGrpSpPr>
      <xdr:grpSpPr>
        <a:xfrm>
          <a:off x="571500" y="9159240"/>
          <a:ext cx="1668780" cy="7620"/>
          <a:chOff x="853440" y="2072640"/>
          <a:chExt cx="1668780" cy="7620"/>
        </a:xfrm>
      </xdr:grpSpPr>
      <xdr:cxnSp macro="">
        <xdr:nvCxnSpPr>
          <xdr:cNvPr id="117" name="直線矢印コネクタ 116">
            <a:extLst>
              <a:ext uri="{FF2B5EF4-FFF2-40B4-BE49-F238E27FC236}">
                <a16:creationId xmlns:a16="http://schemas.microsoft.com/office/drawing/2014/main" id="{FEA9DBE4-C8FB-B89E-5087-53DDD0DBF022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" name="直線矢印コネクタ 117">
            <a:extLst>
              <a:ext uri="{FF2B5EF4-FFF2-40B4-BE49-F238E27FC236}">
                <a16:creationId xmlns:a16="http://schemas.microsoft.com/office/drawing/2014/main" id="{73875187-E0DD-C099-1847-C2E41D2BC1B7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29</xdr:row>
      <xdr:rowOff>190500</xdr:rowOff>
    </xdr:from>
    <xdr:to>
      <xdr:col>37</xdr:col>
      <xdr:colOff>109220</xdr:colOff>
      <xdr:row>29</xdr:row>
      <xdr:rowOff>198120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566787CD-0EDD-4CB1-B4D4-11407772F329}"/>
            </a:ext>
          </a:extLst>
        </xdr:cNvPr>
        <xdr:cNvGrpSpPr/>
      </xdr:nvGrpSpPr>
      <xdr:grpSpPr>
        <a:xfrm>
          <a:off x="2263140" y="9159240"/>
          <a:ext cx="8285480" cy="7620"/>
          <a:chOff x="853440" y="2072640"/>
          <a:chExt cx="8030544" cy="7620"/>
        </a:xfrm>
      </xdr:grpSpPr>
      <xdr:cxnSp macro="">
        <xdr:nvCxnSpPr>
          <xdr:cNvPr id="120" name="直線矢印コネクタ 119">
            <a:extLst>
              <a:ext uri="{FF2B5EF4-FFF2-40B4-BE49-F238E27FC236}">
                <a16:creationId xmlns:a16="http://schemas.microsoft.com/office/drawing/2014/main" id="{09229E31-8A6A-4543-3AB5-9F76ACB05AA5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" name="直線矢印コネクタ 120">
            <a:extLst>
              <a:ext uri="{FF2B5EF4-FFF2-40B4-BE49-F238E27FC236}">
                <a16:creationId xmlns:a16="http://schemas.microsoft.com/office/drawing/2014/main" id="{2C60B39B-9265-2093-9977-81F04A5F3BBB}"/>
              </a:ext>
            </a:extLst>
          </xdr:cNvPr>
          <xdr:cNvCxnSpPr/>
        </xdr:nvCxnSpPr>
        <xdr:spPr>
          <a:xfrm>
            <a:off x="7238064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39</xdr:row>
      <xdr:rowOff>215900</xdr:rowOff>
    </xdr:from>
    <xdr:to>
      <xdr:col>31</xdr:col>
      <xdr:colOff>214923</xdr:colOff>
      <xdr:row>39</xdr:row>
      <xdr:rowOff>223520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9AEA200C-AF5F-44E3-B0DA-C4EB0A4FAB38}"/>
            </a:ext>
          </a:extLst>
        </xdr:cNvPr>
        <xdr:cNvGrpSpPr/>
      </xdr:nvGrpSpPr>
      <xdr:grpSpPr>
        <a:xfrm>
          <a:off x="3954780" y="12636500"/>
          <a:ext cx="5007903" cy="7620"/>
          <a:chOff x="2493270" y="2072640"/>
          <a:chExt cx="5111490" cy="7620"/>
        </a:xfrm>
      </xdr:grpSpPr>
      <xdr:cxnSp macro="">
        <xdr:nvCxnSpPr>
          <xdr:cNvPr id="123" name="直線矢印コネクタ 122">
            <a:extLst>
              <a:ext uri="{FF2B5EF4-FFF2-40B4-BE49-F238E27FC236}">
                <a16:creationId xmlns:a16="http://schemas.microsoft.com/office/drawing/2014/main" id="{F4C31EB5-8117-5025-2F2A-981E22F4CD95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直線矢印コネクタ 123">
            <a:extLst>
              <a:ext uri="{FF2B5EF4-FFF2-40B4-BE49-F238E27FC236}">
                <a16:creationId xmlns:a16="http://schemas.microsoft.com/office/drawing/2014/main" id="{2CF7FB00-16B3-8987-7ED9-E04E8E59CDE9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7620</xdr:colOff>
      <xdr:row>11</xdr:row>
      <xdr:rowOff>236220</xdr:rowOff>
    </xdr:from>
    <xdr:to>
      <xdr:col>7</xdr:col>
      <xdr:colOff>266700</xdr:colOff>
      <xdr:row>11</xdr:row>
      <xdr:rowOff>243840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ACAF99B-BD50-430B-9C4E-1F61C6BDB4CA}"/>
            </a:ext>
          </a:extLst>
        </xdr:cNvPr>
        <xdr:cNvGrpSpPr/>
      </xdr:nvGrpSpPr>
      <xdr:grpSpPr>
        <a:xfrm>
          <a:off x="579120" y="3200400"/>
          <a:ext cx="1668780" cy="7620"/>
          <a:chOff x="853440" y="2072640"/>
          <a:chExt cx="166878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4D8D1E67-EF52-18A9-5508-F0034EFFCAF9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DE67A1A4-BCD2-D14B-F5BE-E38836EF1B64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11</xdr:row>
      <xdr:rowOff>215900</xdr:rowOff>
    </xdr:from>
    <xdr:to>
      <xdr:col>31</xdr:col>
      <xdr:colOff>236220</xdr:colOff>
      <xdr:row>11</xdr:row>
      <xdr:rowOff>223520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26B32727-CEE0-40B5-A9A5-A4E52AE3B718}"/>
            </a:ext>
          </a:extLst>
        </xdr:cNvPr>
        <xdr:cNvGrpSpPr/>
      </xdr:nvGrpSpPr>
      <xdr:grpSpPr>
        <a:xfrm>
          <a:off x="2263140" y="3180080"/>
          <a:ext cx="6720840" cy="7620"/>
          <a:chOff x="853440" y="2072640"/>
          <a:chExt cx="6515347" cy="762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896D8932-A624-DD39-D828-0764EAA8212E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18836FFB-CBD8-D1D0-3C96-6E8B2CF4BA38}"/>
              </a:ext>
            </a:extLst>
          </xdr:cNvPr>
          <xdr:cNvCxnSpPr/>
        </xdr:nvCxnSpPr>
        <xdr:spPr>
          <a:xfrm>
            <a:off x="5722867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11</xdr:row>
      <xdr:rowOff>190500</xdr:rowOff>
    </xdr:from>
    <xdr:to>
      <xdr:col>37</xdr:col>
      <xdr:colOff>259080</xdr:colOff>
      <xdr:row>11</xdr:row>
      <xdr:rowOff>198120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56552F85-BDC1-4441-846D-FDE5C257BED9}"/>
            </a:ext>
          </a:extLst>
        </xdr:cNvPr>
        <xdr:cNvGrpSpPr/>
      </xdr:nvGrpSpPr>
      <xdr:grpSpPr>
        <a:xfrm>
          <a:off x="9029700" y="3154680"/>
          <a:ext cx="1668780" cy="7620"/>
          <a:chOff x="853440" y="2072640"/>
          <a:chExt cx="166878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AB8F90E0-EE8E-5BC3-D911-00DB975926A1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9B1C3FD6-1F87-5205-58FE-E3BB1F0974DC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21</xdr:row>
      <xdr:rowOff>215900</xdr:rowOff>
    </xdr:from>
    <xdr:to>
      <xdr:col>7</xdr:col>
      <xdr:colOff>259080</xdr:colOff>
      <xdr:row>21</xdr:row>
      <xdr:rowOff>223520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85649601-D11B-440A-8819-BD8484F234DE}"/>
            </a:ext>
          </a:extLst>
        </xdr:cNvPr>
        <xdr:cNvGrpSpPr/>
      </xdr:nvGrpSpPr>
      <xdr:grpSpPr>
        <a:xfrm>
          <a:off x="571500" y="6631940"/>
          <a:ext cx="1668780" cy="7620"/>
          <a:chOff x="853440" y="2072640"/>
          <a:chExt cx="1668780" cy="7620"/>
        </a:xfrm>
      </xdr:grpSpPr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21F5212F-4235-0349-877C-3EE7C6F154EB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35B490EC-6EDA-086C-5EDD-B18E3F7D97EB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21</xdr:row>
      <xdr:rowOff>215900</xdr:rowOff>
    </xdr:from>
    <xdr:to>
      <xdr:col>31</xdr:col>
      <xdr:colOff>236220</xdr:colOff>
      <xdr:row>21</xdr:row>
      <xdr:rowOff>223520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1A38E83C-A536-4777-B383-DFD26D704024}"/>
            </a:ext>
          </a:extLst>
        </xdr:cNvPr>
        <xdr:cNvGrpSpPr/>
      </xdr:nvGrpSpPr>
      <xdr:grpSpPr>
        <a:xfrm>
          <a:off x="2263140" y="6631940"/>
          <a:ext cx="6720840" cy="7620"/>
          <a:chOff x="853440" y="2072640"/>
          <a:chExt cx="6515347" cy="7620"/>
        </a:xfrm>
      </xdr:grpSpPr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90B06C8D-2461-CBD7-2794-4EE7CB29A13A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2D20EDA6-A3E4-CEC5-47DE-6D2980B95598}"/>
              </a:ext>
            </a:extLst>
          </xdr:cNvPr>
          <xdr:cNvCxnSpPr/>
        </xdr:nvCxnSpPr>
        <xdr:spPr>
          <a:xfrm>
            <a:off x="5722867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21</xdr:row>
      <xdr:rowOff>190500</xdr:rowOff>
    </xdr:from>
    <xdr:to>
      <xdr:col>37</xdr:col>
      <xdr:colOff>259080</xdr:colOff>
      <xdr:row>21</xdr:row>
      <xdr:rowOff>198120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6C6DF2D0-98FF-402F-B184-12A61C2A10D9}"/>
            </a:ext>
          </a:extLst>
        </xdr:cNvPr>
        <xdr:cNvGrpSpPr/>
      </xdr:nvGrpSpPr>
      <xdr:grpSpPr>
        <a:xfrm>
          <a:off x="9029700" y="6606540"/>
          <a:ext cx="1668780" cy="7620"/>
          <a:chOff x="853440" y="2072640"/>
          <a:chExt cx="1668780" cy="7620"/>
        </a:xfrm>
      </xdr:grpSpPr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57DDDAA7-76CD-DB5D-5D98-A55A3463FB21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053B6992-CD9E-59A9-7B43-2F21A8E885D0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31</xdr:row>
      <xdr:rowOff>190500</xdr:rowOff>
    </xdr:from>
    <xdr:to>
      <xdr:col>7</xdr:col>
      <xdr:colOff>259080</xdr:colOff>
      <xdr:row>31</xdr:row>
      <xdr:rowOff>198120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D928361E-28F1-4CEC-B6FD-0D1851936FC0}"/>
            </a:ext>
          </a:extLst>
        </xdr:cNvPr>
        <xdr:cNvGrpSpPr/>
      </xdr:nvGrpSpPr>
      <xdr:grpSpPr>
        <a:xfrm>
          <a:off x="571500" y="10058400"/>
          <a:ext cx="1668780" cy="7620"/>
          <a:chOff x="853440" y="2072640"/>
          <a:chExt cx="1668780" cy="7620"/>
        </a:xfrm>
      </xdr:grpSpPr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30106714-D5EA-7AAE-F472-3225587F7E4A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1CF00FF4-4851-F25B-6B99-10AEE7D23BF3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31</xdr:row>
      <xdr:rowOff>182880</xdr:rowOff>
    </xdr:from>
    <xdr:to>
      <xdr:col>25</xdr:col>
      <xdr:colOff>259080</xdr:colOff>
      <xdr:row>31</xdr:row>
      <xdr:rowOff>190500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394F10C0-4612-4052-8767-5A7ECEEC94E4}"/>
            </a:ext>
          </a:extLst>
        </xdr:cNvPr>
        <xdr:cNvGrpSpPr/>
      </xdr:nvGrpSpPr>
      <xdr:grpSpPr>
        <a:xfrm>
          <a:off x="2263140" y="10050780"/>
          <a:ext cx="5052060" cy="7620"/>
          <a:chOff x="853440" y="2072640"/>
          <a:chExt cx="4897591" cy="7620"/>
        </a:xfrm>
      </xdr:grpSpPr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FAA43277-B08C-6613-5730-79EB40E95F2A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7A3C94AE-DC94-1BCE-38F3-DD9C7FF41A73}"/>
              </a:ext>
            </a:extLst>
          </xdr:cNvPr>
          <xdr:cNvCxnSpPr/>
        </xdr:nvCxnSpPr>
        <xdr:spPr>
          <a:xfrm>
            <a:off x="4105111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40</xdr:row>
      <xdr:rowOff>190500</xdr:rowOff>
    </xdr:from>
    <xdr:to>
      <xdr:col>31</xdr:col>
      <xdr:colOff>199682</xdr:colOff>
      <xdr:row>40</xdr:row>
      <xdr:rowOff>198120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032850C6-0E09-4D7B-8B43-20C628DF38C6}"/>
            </a:ext>
          </a:extLst>
        </xdr:cNvPr>
        <xdr:cNvGrpSpPr/>
      </xdr:nvGrpSpPr>
      <xdr:grpSpPr>
        <a:xfrm>
          <a:off x="2263140" y="13060680"/>
          <a:ext cx="6684302" cy="7620"/>
          <a:chOff x="2493270" y="2072640"/>
          <a:chExt cx="6822565" cy="7620"/>
        </a:xfrm>
      </xdr:grpSpPr>
      <xdr:cxnSp macro="">
        <xdr:nvCxnSpPr>
          <xdr:cNvPr id="33" name="直線矢印コネクタ 32">
            <a:extLst>
              <a:ext uri="{FF2B5EF4-FFF2-40B4-BE49-F238E27FC236}">
                <a16:creationId xmlns:a16="http://schemas.microsoft.com/office/drawing/2014/main" id="{889D162D-C550-E324-7D97-8870E5C693CC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直線矢印コネクタ 33">
            <a:extLst>
              <a:ext uri="{FF2B5EF4-FFF2-40B4-BE49-F238E27FC236}">
                <a16:creationId xmlns:a16="http://schemas.microsoft.com/office/drawing/2014/main" id="{0AF1F9E2-76BE-9AF1-AEFB-88CC4E81DE10}"/>
              </a:ext>
            </a:extLst>
          </xdr:cNvPr>
          <xdr:cNvCxnSpPr/>
        </xdr:nvCxnSpPr>
        <xdr:spPr>
          <a:xfrm>
            <a:off x="7669915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40</xdr:row>
      <xdr:rowOff>198120</xdr:rowOff>
    </xdr:from>
    <xdr:to>
      <xdr:col>13</xdr:col>
      <xdr:colOff>274320</xdr:colOff>
      <xdr:row>40</xdr:row>
      <xdr:rowOff>205740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8CE1B6F-E896-447D-955D-417D6A7FFD54}"/>
            </a:ext>
          </a:extLst>
        </xdr:cNvPr>
        <xdr:cNvGrpSpPr/>
      </xdr:nvGrpSpPr>
      <xdr:grpSpPr>
        <a:xfrm>
          <a:off x="571500" y="13068300"/>
          <a:ext cx="3375660" cy="7620"/>
          <a:chOff x="853440" y="2072640"/>
          <a:chExt cx="3375660" cy="7620"/>
        </a:xfrm>
      </xdr:grpSpPr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17D21C16-745C-EDCC-86C4-7DDF86C8C1C8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8D1588F0-F26A-4B00-5145-CF83B9FD649A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40</xdr:row>
      <xdr:rowOff>205740</xdr:rowOff>
    </xdr:from>
    <xdr:to>
      <xdr:col>31</xdr:col>
      <xdr:colOff>274320</xdr:colOff>
      <xdr:row>40</xdr:row>
      <xdr:rowOff>213360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AE2F725-9561-4F11-ACB9-2E9D0202CA26}"/>
            </a:ext>
          </a:extLst>
        </xdr:cNvPr>
        <xdr:cNvGrpSpPr/>
      </xdr:nvGrpSpPr>
      <xdr:grpSpPr>
        <a:xfrm>
          <a:off x="5646420" y="13075920"/>
          <a:ext cx="3375660" cy="7620"/>
          <a:chOff x="853440" y="2072640"/>
          <a:chExt cx="337566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09BA628E-72A8-B028-0A2B-C747F36BD7A5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8DA9E818-072B-9419-506B-9834BABF8F6A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41</xdr:row>
      <xdr:rowOff>205740</xdr:rowOff>
    </xdr:from>
    <xdr:to>
      <xdr:col>13</xdr:col>
      <xdr:colOff>274320</xdr:colOff>
      <xdr:row>41</xdr:row>
      <xdr:rowOff>213360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601CD01-2900-4A0B-B066-F1D684B8088F}"/>
            </a:ext>
          </a:extLst>
        </xdr:cNvPr>
        <xdr:cNvGrpSpPr/>
      </xdr:nvGrpSpPr>
      <xdr:grpSpPr>
        <a:xfrm>
          <a:off x="571500" y="13525500"/>
          <a:ext cx="3375660" cy="7620"/>
          <a:chOff x="853440" y="2072640"/>
          <a:chExt cx="3375660" cy="762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B715B5EC-23A6-BDD5-18C1-B5813027B534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1991F20E-D4BF-7006-8EC3-E07075ECF738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</xdr:row>
      <xdr:rowOff>205740</xdr:rowOff>
    </xdr:from>
    <xdr:to>
      <xdr:col>31</xdr:col>
      <xdr:colOff>274320</xdr:colOff>
      <xdr:row>41</xdr:row>
      <xdr:rowOff>213360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2EA1ECDC-DBE1-4190-994B-C1A27E8AFA85}"/>
            </a:ext>
          </a:extLst>
        </xdr:cNvPr>
        <xdr:cNvGrpSpPr/>
      </xdr:nvGrpSpPr>
      <xdr:grpSpPr>
        <a:xfrm>
          <a:off x="5646420" y="13525500"/>
          <a:ext cx="3375660" cy="7620"/>
          <a:chOff x="853440" y="2072640"/>
          <a:chExt cx="337566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DBE47E36-361F-593D-F328-3FD1EBBCC4FD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ECE4292D-AFC9-36D9-5CD7-2C047C90C0F5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40</xdr:row>
      <xdr:rowOff>220980</xdr:rowOff>
    </xdr:from>
    <xdr:to>
      <xdr:col>31</xdr:col>
      <xdr:colOff>259080</xdr:colOff>
      <xdr:row>40</xdr:row>
      <xdr:rowOff>228600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198659F-6364-4F8F-9A25-0E2AFF7BEABA}"/>
            </a:ext>
          </a:extLst>
        </xdr:cNvPr>
        <xdr:cNvGrpSpPr/>
      </xdr:nvGrpSpPr>
      <xdr:grpSpPr>
        <a:xfrm>
          <a:off x="3954780" y="13091160"/>
          <a:ext cx="5052060" cy="7620"/>
          <a:chOff x="853440" y="2072640"/>
          <a:chExt cx="505206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FDA24701-6010-A987-448E-CB33A795EB37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72BC4FE9-E724-A2E7-FAB6-3AAD68B3E54C}"/>
              </a:ext>
            </a:extLst>
          </xdr:cNvPr>
          <xdr:cNvCxnSpPr/>
        </xdr:nvCxnSpPr>
        <xdr:spPr>
          <a:xfrm>
            <a:off x="54025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39</xdr:row>
      <xdr:rowOff>236220</xdr:rowOff>
    </xdr:from>
    <xdr:to>
      <xdr:col>31</xdr:col>
      <xdr:colOff>259080</xdr:colOff>
      <xdr:row>39</xdr:row>
      <xdr:rowOff>243840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4EA091A2-6895-4D0E-9299-6A43986C4280}"/>
            </a:ext>
          </a:extLst>
        </xdr:cNvPr>
        <xdr:cNvGrpSpPr/>
      </xdr:nvGrpSpPr>
      <xdr:grpSpPr>
        <a:xfrm>
          <a:off x="3954780" y="12656820"/>
          <a:ext cx="5052060" cy="7620"/>
          <a:chOff x="853440" y="2072640"/>
          <a:chExt cx="5052060" cy="762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9C9814D8-3DF5-8D19-4D82-8DF9557E4CE4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9D03E786-9197-8E1C-AB04-640850F8B419}"/>
              </a:ext>
            </a:extLst>
          </xdr:cNvPr>
          <xdr:cNvCxnSpPr/>
        </xdr:nvCxnSpPr>
        <xdr:spPr>
          <a:xfrm>
            <a:off x="54025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41</xdr:row>
      <xdr:rowOff>198120</xdr:rowOff>
    </xdr:from>
    <xdr:to>
      <xdr:col>31</xdr:col>
      <xdr:colOff>259080</xdr:colOff>
      <xdr:row>41</xdr:row>
      <xdr:rowOff>205740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B17715CB-CDA4-40F4-A60C-BCC0690282AC}"/>
            </a:ext>
          </a:extLst>
        </xdr:cNvPr>
        <xdr:cNvGrpSpPr/>
      </xdr:nvGrpSpPr>
      <xdr:grpSpPr>
        <a:xfrm>
          <a:off x="3954780" y="13517880"/>
          <a:ext cx="5052060" cy="7620"/>
          <a:chOff x="853440" y="2072640"/>
          <a:chExt cx="505206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4CF6D314-075A-399B-D72B-E635434290D2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920CFDCF-26A2-7E8F-8930-B8FA190F428A}"/>
              </a:ext>
            </a:extLst>
          </xdr:cNvPr>
          <xdr:cNvCxnSpPr/>
        </xdr:nvCxnSpPr>
        <xdr:spPr>
          <a:xfrm>
            <a:off x="54025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31</xdr:row>
      <xdr:rowOff>198120</xdr:rowOff>
    </xdr:from>
    <xdr:to>
      <xdr:col>37</xdr:col>
      <xdr:colOff>274320</xdr:colOff>
      <xdr:row>31</xdr:row>
      <xdr:rowOff>205740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7D798B8-F6F0-4DFA-8483-D5AD2F4A7B9B}"/>
            </a:ext>
          </a:extLst>
        </xdr:cNvPr>
        <xdr:cNvGrpSpPr/>
      </xdr:nvGrpSpPr>
      <xdr:grpSpPr>
        <a:xfrm>
          <a:off x="7338060" y="10066020"/>
          <a:ext cx="3375660" cy="7620"/>
          <a:chOff x="853440" y="2072640"/>
          <a:chExt cx="3375660" cy="7620"/>
        </a:xfrm>
      </xdr:grpSpPr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285E50A7-230D-D05F-F4B6-B1AF9C215696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00D80DDE-263B-3992-F729-96C304AEA7CD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41</xdr:row>
      <xdr:rowOff>205740</xdr:rowOff>
    </xdr:from>
    <xdr:to>
      <xdr:col>13</xdr:col>
      <xdr:colOff>274320</xdr:colOff>
      <xdr:row>41</xdr:row>
      <xdr:rowOff>213360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1F88044D-4DE6-4A4C-B614-DB94452D1F18}"/>
            </a:ext>
          </a:extLst>
        </xdr:cNvPr>
        <xdr:cNvGrpSpPr/>
      </xdr:nvGrpSpPr>
      <xdr:grpSpPr>
        <a:xfrm>
          <a:off x="571500" y="13525500"/>
          <a:ext cx="3375660" cy="7620"/>
          <a:chOff x="853440" y="2072640"/>
          <a:chExt cx="3375660" cy="7620"/>
        </a:xfrm>
      </xdr:grpSpPr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1B75BF2F-BD50-D66B-8744-B077F448E8E1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5ADAA20B-9CBA-4A32-4120-3799F600D8D5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40</xdr:row>
      <xdr:rowOff>180340</xdr:rowOff>
    </xdr:from>
    <xdr:to>
      <xdr:col>37</xdr:col>
      <xdr:colOff>259080</xdr:colOff>
      <xdr:row>40</xdr:row>
      <xdr:rowOff>187960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7BD44007-5A36-403B-9A0A-99A6F2F0A6A3}"/>
            </a:ext>
          </a:extLst>
        </xdr:cNvPr>
        <xdr:cNvGrpSpPr/>
      </xdr:nvGrpSpPr>
      <xdr:grpSpPr>
        <a:xfrm>
          <a:off x="9029700" y="13050520"/>
          <a:ext cx="1668780" cy="7620"/>
          <a:chOff x="853440" y="2072640"/>
          <a:chExt cx="1668780" cy="7620"/>
        </a:xfrm>
      </xdr:grpSpPr>
      <xdr:cxnSp macro="">
        <xdr:nvCxnSpPr>
          <xdr:cNvPr id="66" name="直線矢印コネクタ 65">
            <a:extLst>
              <a:ext uri="{FF2B5EF4-FFF2-40B4-BE49-F238E27FC236}">
                <a16:creationId xmlns:a16="http://schemas.microsoft.com/office/drawing/2014/main" id="{13E777DF-8081-F7F6-ABF1-C4A3E127F509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直線矢印コネクタ 66">
            <a:extLst>
              <a:ext uri="{FF2B5EF4-FFF2-40B4-BE49-F238E27FC236}">
                <a16:creationId xmlns:a16="http://schemas.microsoft.com/office/drawing/2014/main" id="{572615C1-4784-DF92-95F0-17B33AEC405D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0</xdr:colOff>
      <xdr:row>30</xdr:row>
      <xdr:rowOff>228600</xdr:rowOff>
    </xdr:from>
    <xdr:to>
      <xdr:col>37</xdr:col>
      <xdr:colOff>259080</xdr:colOff>
      <xdr:row>30</xdr:row>
      <xdr:rowOff>236220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28446947-B535-48D4-B25A-629522E74E20}"/>
            </a:ext>
          </a:extLst>
        </xdr:cNvPr>
        <xdr:cNvGrpSpPr/>
      </xdr:nvGrpSpPr>
      <xdr:grpSpPr>
        <a:xfrm>
          <a:off x="9029700" y="9646920"/>
          <a:ext cx="1668780" cy="7620"/>
          <a:chOff x="853440" y="2072640"/>
          <a:chExt cx="1668780" cy="7620"/>
        </a:xfrm>
      </xdr:grpSpPr>
      <xdr:cxnSp macro="">
        <xdr:nvCxnSpPr>
          <xdr:cNvPr id="69" name="直線矢印コネクタ 68">
            <a:extLst>
              <a:ext uri="{FF2B5EF4-FFF2-40B4-BE49-F238E27FC236}">
                <a16:creationId xmlns:a16="http://schemas.microsoft.com/office/drawing/2014/main" id="{E5674F8B-6AE5-0305-B540-1BC88740C9C3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直線矢印コネクタ 69">
            <a:extLst>
              <a:ext uri="{FF2B5EF4-FFF2-40B4-BE49-F238E27FC236}">
                <a16:creationId xmlns:a16="http://schemas.microsoft.com/office/drawing/2014/main" id="{CD442447-3991-D126-710B-18B47442C991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40</xdr:row>
      <xdr:rowOff>190500</xdr:rowOff>
    </xdr:from>
    <xdr:to>
      <xdr:col>19</xdr:col>
      <xdr:colOff>214923</xdr:colOff>
      <xdr:row>40</xdr:row>
      <xdr:rowOff>198120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606EADD0-AB81-48A0-9619-C48F5A9E0E34}"/>
            </a:ext>
          </a:extLst>
        </xdr:cNvPr>
        <xdr:cNvGrpSpPr/>
      </xdr:nvGrpSpPr>
      <xdr:grpSpPr>
        <a:xfrm>
          <a:off x="571500" y="13060680"/>
          <a:ext cx="5007903" cy="7620"/>
          <a:chOff x="2493270" y="2072640"/>
          <a:chExt cx="5111490" cy="7620"/>
        </a:xfrm>
      </xdr:grpSpPr>
      <xdr:cxnSp macro="">
        <xdr:nvCxnSpPr>
          <xdr:cNvPr id="72" name="直線矢印コネクタ 71">
            <a:extLst>
              <a:ext uri="{FF2B5EF4-FFF2-40B4-BE49-F238E27FC236}">
                <a16:creationId xmlns:a16="http://schemas.microsoft.com/office/drawing/2014/main" id="{E10C45D5-119D-F9F9-95F0-CFD3EF86AFCF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直線矢印コネクタ 72">
            <a:extLst>
              <a:ext uri="{FF2B5EF4-FFF2-40B4-BE49-F238E27FC236}">
                <a16:creationId xmlns:a16="http://schemas.microsoft.com/office/drawing/2014/main" id="{132E75D0-98CF-CA7F-6D3B-DB26BF1EDF85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40</xdr:row>
      <xdr:rowOff>198120</xdr:rowOff>
    </xdr:from>
    <xdr:to>
      <xdr:col>25</xdr:col>
      <xdr:colOff>259080</xdr:colOff>
      <xdr:row>40</xdr:row>
      <xdr:rowOff>205740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43ACE832-63D6-45B4-8730-274DE0E92F64}"/>
            </a:ext>
          </a:extLst>
        </xdr:cNvPr>
        <xdr:cNvGrpSpPr/>
      </xdr:nvGrpSpPr>
      <xdr:grpSpPr>
        <a:xfrm>
          <a:off x="5646420" y="13068300"/>
          <a:ext cx="1668780" cy="7620"/>
          <a:chOff x="853440" y="2072640"/>
          <a:chExt cx="1668780" cy="7620"/>
        </a:xfrm>
      </xdr:grpSpPr>
      <xdr:cxnSp macro="">
        <xdr:nvCxnSpPr>
          <xdr:cNvPr id="75" name="直線矢印コネクタ 74">
            <a:extLst>
              <a:ext uri="{FF2B5EF4-FFF2-40B4-BE49-F238E27FC236}">
                <a16:creationId xmlns:a16="http://schemas.microsoft.com/office/drawing/2014/main" id="{E9DD6FE3-9F35-FFE7-997D-272ACA9E36E8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直線矢印コネクタ 75">
            <a:extLst>
              <a:ext uri="{FF2B5EF4-FFF2-40B4-BE49-F238E27FC236}">
                <a16:creationId xmlns:a16="http://schemas.microsoft.com/office/drawing/2014/main" id="{F681C88F-6C1C-572C-4ACC-E7B652C64EC5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20</xdr:row>
      <xdr:rowOff>205740</xdr:rowOff>
    </xdr:from>
    <xdr:to>
      <xdr:col>37</xdr:col>
      <xdr:colOff>274320</xdr:colOff>
      <xdr:row>20</xdr:row>
      <xdr:rowOff>213360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73213C45-7FCD-4482-A7C5-862D2D7C2623}"/>
            </a:ext>
          </a:extLst>
        </xdr:cNvPr>
        <xdr:cNvGrpSpPr/>
      </xdr:nvGrpSpPr>
      <xdr:grpSpPr>
        <a:xfrm>
          <a:off x="7338060" y="6172200"/>
          <a:ext cx="3375660" cy="7620"/>
          <a:chOff x="853440" y="2072640"/>
          <a:chExt cx="3375660" cy="7620"/>
        </a:xfrm>
      </xdr:grpSpPr>
      <xdr:cxnSp macro="">
        <xdr:nvCxnSpPr>
          <xdr:cNvPr id="78" name="直線矢印コネクタ 77">
            <a:extLst>
              <a:ext uri="{FF2B5EF4-FFF2-40B4-BE49-F238E27FC236}">
                <a16:creationId xmlns:a16="http://schemas.microsoft.com/office/drawing/2014/main" id="{0027F1DC-E788-F8A7-5E71-584A8A569619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直線矢印コネクタ 78">
            <a:extLst>
              <a:ext uri="{FF2B5EF4-FFF2-40B4-BE49-F238E27FC236}">
                <a16:creationId xmlns:a16="http://schemas.microsoft.com/office/drawing/2014/main" id="{8D71355B-58E9-D5D9-E89C-9FA6EA9E70B1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30</xdr:row>
      <xdr:rowOff>205740</xdr:rowOff>
    </xdr:from>
    <xdr:to>
      <xdr:col>13</xdr:col>
      <xdr:colOff>274320</xdr:colOff>
      <xdr:row>30</xdr:row>
      <xdr:rowOff>213360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10880396-A85B-4096-BD17-EE8CEA36844E}"/>
            </a:ext>
          </a:extLst>
        </xdr:cNvPr>
        <xdr:cNvGrpSpPr/>
      </xdr:nvGrpSpPr>
      <xdr:grpSpPr>
        <a:xfrm>
          <a:off x="571500" y="9624060"/>
          <a:ext cx="3375660" cy="7620"/>
          <a:chOff x="853440" y="2072640"/>
          <a:chExt cx="3375660" cy="7620"/>
        </a:xfrm>
      </xdr:grpSpPr>
      <xdr:cxnSp macro="">
        <xdr:nvCxnSpPr>
          <xdr:cNvPr id="81" name="直線矢印コネクタ 80">
            <a:extLst>
              <a:ext uri="{FF2B5EF4-FFF2-40B4-BE49-F238E27FC236}">
                <a16:creationId xmlns:a16="http://schemas.microsoft.com/office/drawing/2014/main" id="{7D5C7D54-B0E3-386C-6D3D-0D86E4EFDAC9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直線矢印コネクタ 81">
            <a:extLst>
              <a:ext uri="{FF2B5EF4-FFF2-40B4-BE49-F238E27FC236}">
                <a16:creationId xmlns:a16="http://schemas.microsoft.com/office/drawing/2014/main" id="{D560FB49-395F-215C-1147-5987CEB09594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30</xdr:row>
      <xdr:rowOff>198120</xdr:rowOff>
    </xdr:from>
    <xdr:to>
      <xdr:col>19</xdr:col>
      <xdr:colOff>259080</xdr:colOff>
      <xdr:row>30</xdr:row>
      <xdr:rowOff>205740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2CF3EA2C-5984-438C-8ACE-D097CB0EAEEE}"/>
            </a:ext>
          </a:extLst>
        </xdr:cNvPr>
        <xdr:cNvGrpSpPr/>
      </xdr:nvGrpSpPr>
      <xdr:grpSpPr>
        <a:xfrm>
          <a:off x="3954780" y="9616440"/>
          <a:ext cx="1668780" cy="7620"/>
          <a:chOff x="853440" y="2072640"/>
          <a:chExt cx="1668780" cy="7620"/>
        </a:xfrm>
      </xdr:grpSpPr>
      <xdr:cxnSp macro="">
        <xdr:nvCxnSpPr>
          <xdr:cNvPr id="84" name="直線矢印コネクタ 83">
            <a:extLst>
              <a:ext uri="{FF2B5EF4-FFF2-40B4-BE49-F238E27FC236}">
                <a16:creationId xmlns:a16="http://schemas.microsoft.com/office/drawing/2014/main" id="{3AF3E4AB-15C4-273B-8105-048DB7A6D57A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直線矢印コネクタ 84">
            <a:extLst>
              <a:ext uri="{FF2B5EF4-FFF2-40B4-BE49-F238E27FC236}">
                <a16:creationId xmlns:a16="http://schemas.microsoft.com/office/drawing/2014/main" id="{61E03FAF-C376-88B7-31A1-93E3882BE304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30</xdr:row>
      <xdr:rowOff>228600</xdr:rowOff>
    </xdr:from>
    <xdr:to>
      <xdr:col>25</xdr:col>
      <xdr:colOff>259080</xdr:colOff>
      <xdr:row>30</xdr:row>
      <xdr:rowOff>236220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0989322E-7842-4432-991A-9E65D150DE95}"/>
            </a:ext>
          </a:extLst>
        </xdr:cNvPr>
        <xdr:cNvGrpSpPr/>
      </xdr:nvGrpSpPr>
      <xdr:grpSpPr>
        <a:xfrm>
          <a:off x="5646420" y="9646920"/>
          <a:ext cx="1668780" cy="7620"/>
          <a:chOff x="853440" y="2072640"/>
          <a:chExt cx="1668780" cy="7620"/>
        </a:xfrm>
      </xdr:grpSpPr>
      <xdr:cxnSp macro="">
        <xdr:nvCxnSpPr>
          <xdr:cNvPr id="87" name="直線矢印コネクタ 86">
            <a:extLst>
              <a:ext uri="{FF2B5EF4-FFF2-40B4-BE49-F238E27FC236}">
                <a16:creationId xmlns:a16="http://schemas.microsoft.com/office/drawing/2014/main" id="{413CB68C-59D8-2E7E-5D0C-AAD8D27E0140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直線矢印コネクタ 87">
            <a:extLst>
              <a:ext uri="{FF2B5EF4-FFF2-40B4-BE49-F238E27FC236}">
                <a16:creationId xmlns:a16="http://schemas.microsoft.com/office/drawing/2014/main" id="{D7277C78-64FE-F687-B791-528009122B80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10</xdr:row>
      <xdr:rowOff>190500</xdr:rowOff>
    </xdr:from>
    <xdr:to>
      <xdr:col>37</xdr:col>
      <xdr:colOff>214923</xdr:colOff>
      <xdr:row>10</xdr:row>
      <xdr:rowOff>198120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7AEB2BE0-AE33-46DF-B8AD-FEB38F13557D}"/>
            </a:ext>
          </a:extLst>
        </xdr:cNvPr>
        <xdr:cNvGrpSpPr/>
      </xdr:nvGrpSpPr>
      <xdr:grpSpPr>
        <a:xfrm>
          <a:off x="5646420" y="2705100"/>
          <a:ext cx="5007903" cy="7620"/>
          <a:chOff x="2493270" y="2072640"/>
          <a:chExt cx="5111490" cy="7620"/>
        </a:xfrm>
      </xdr:grpSpPr>
      <xdr:cxnSp macro="">
        <xdr:nvCxnSpPr>
          <xdr:cNvPr id="90" name="直線矢印コネクタ 89">
            <a:extLst>
              <a:ext uri="{FF2B5EF4-FFF2-40B4-BE49-F238E27FC236}">
                <a16:creationId xmlns:a16="http://schemas.microsoft.com/office/drawing/2014/main" id="{D5E8F1C2-2547-6C66-761A-A1B75E7FEF84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直線矢印コネクタ 90">
            <a:extLst>
              <a:ext uri="{FF2B5EF4-FFF2-40B4-BE49-F238E27FC236}">
                <a16:creationId xmlns:a16="http://schemas.microsoft.com/office/drawing/2014/main" id="{772C8A4D-EBCA-DFF6-0607-21EB7F0B67D2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20320</xdr:colOff>
      <xdr:row>10</xdr:row>
      <xdr:rowOff>213360</xdr:rowOff>
    </xdr:from>
    <xdr:to>
      <xdr:col>13</xdr:col>
      <xdr:colOff>231140</xdr:colOff>
      <xdr:row>10</xdr:row>
      <xdr:rowOff>220980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F79987A0-CE02-4684-AE01-06234B3D02AC}"/>
            </a:ext>
          </a:extLst>
        </xdr:cNvPr>
        <xdr:cNvGrpSpPr/>
      </xdr:nvGrpSpPr>
      <xdr:grpSpPr>
        <a:xfrm>
          <a:off x="591820" y="2727960"/>
          <a:ext cx="3312160" cy="7620"/>
          <a:chOff x="853440" y="2072640"/>
          <a:chExt cx="3375660" cy="7620"/>
        </a:xfrm>
      </xdr:grpSpPr>
      <xdr:cxnSp macro="">
        <xdr:nvCxnSpPr>
          <xdr:cNvPr id="93" name="直線矢印コネクタ 92">
            <a:extLst>
              <a:ext uri="{FF2B5EF4-FFF2-40B4-BE49-F238E27FC236}">
                <a16:creationId xmlns:a16="http://schemas.microsoft.com/office/drawing/2014/main" id="{B69D3423-C65F-1B69-5166-1E1C1F904761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直線矢印コネクタ 93">
            <a:extLst>
              <a:ext uri="{FF2B5EF4-FFF2-40B4-BE49-F238E27FC236}">
                <a16:creationId xmlns:a16="http://schemas.microsoft.com/office/drawing/2014/main" id="{904FA6F4-C4FC-721C-FAD6-D2D99B5FC583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20</xdr:row>
      <xdr:rowOff>228600</xdr:rowOff>
    </xdr:from>
    <xdr:to>
      <xdr:col>7</xdr:col>
      <xdr:colOff>259080</xdr:colOff>
      <xdr:row>20</xdr:row>
      <xdr:rowOff>236220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3FE14350-BA4E-4FEF-ACAD-794E56277A01}"/>
            </a:ext>
          </a:extLst>
        </xdr:cNvPr>
        <xdr:cNvGrpSpPr/>
      </xdr:nvGrpSpPr>
      <xdr:grpSpPr>
        <a:xfrm>
          <a:off x="571500" y="6195060"/>
          <a:ext cx="1668780" cy="7620"/>
          <a:chOff x="853440" y="2072640"/>
          <a:chExt cx="1668780" cy="7620"/>
        </a:xfrm>
      </xdr:grpSpPr>
      <xdr:cxnSp macro="">
        <xdr:nvCxnSpPr>
          <xdr:cNvPr id="96" name="直線矢印コネクタ 95">
            <a:extLst>
              <a:ext uri="{FF2B5EF4-FFF2-40B4-BE49-F238E27FC236}">
                <a16:creationId xmlns:a16="http://schemas.microsoft.com/office/drawing/2014/main" id="{A409EAC8-A592-7E69-4D30-32489067CB80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" name="直線矢印コネクタ 96">
            <a:extLst>
              <a:ext uri="{FF2B5EF4-FFF2-40B4-BE49-F238E27FC236}">
                <a16:creationId xmlns:a16="http://schemas.microsoft.com/office/drawing/2014/main" id="{F3388769-07A8-08DD-159B-74EFF1CE78E7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20</xdr:row>
      <xdr:rowOff>228600</xdr:rowOff>
    </xdr:from>
    <xdr:to>
      <xdr:col>13</xdr:col>
      <xdr:colOff>259080</xdr:colOff>
      <xdr:row>20</xdr:row>
      <xdr:rowOff>236220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25412952-FBC1-4B32-AA54-F2FCA89A00FC}"/>
            </a:ext>
          </a:extLst>
        </xdr:cNvPr>
        <xdr:cNvGrpSpPr/>
      </xdr:nvGrpSpPr>
      <xdr:grpSpPr>
        <a:xfrm>
          <a:off x="2263140" y="6195060"/>
          <a:ext cx="1668780" cy="7620"/>
          <a:chOff x="853440" y="2072640"/>
          <a:chExt cx="1668780" cy="7620"/>
        </a:xfrm>
      </xdr:grpSpPr>
      <xdr:cxnSp macro="">
        <xdr:nvCxnSpPr>
          <xdr:cNvPr id="99" name="直線矢印コネクタ 98">
            <a:extLst>
              <a:ext uri="{FF2B5EF4-FFF2-40B4-BE49-F238E27FC236}">
                <a16:creationId xmlns:a16="http://schemas.microsoft.com/office/drawing/2014/main" id="{D34D4FC4-5114-AC08-A803-2E7F05FA2FFE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直線矢印コネクタ 99">
            <a:extLst>
              <a:ext uri="{FF2B5EF4-FFF2-40B4-BE49-F238E27FC236}">
                <a16:creationId xmlns:a16="http://schemas.microsoft.com/office/drawing/2014/main" id="{BB986999-0735-8E00-037B-4043F8DA9D95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20</xdr:row>
      <xdr:rowOff>228600</xdr:rowOff>
    </xdr:from>
    <xdr:to>
      <xdr:col>19</xdr:col>
      <xdr:colOff>259080</xdr:colOff>
      <xdr:row>20</xdr:row>
      <xdr:rowOff>236220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9F9949E-0BC0-48DF-B90E-CF40EBE69AE4}"/>
            </a:ext>
          </a:extLst>
        </xdr:cNvPr>
        <xdr:cNvGrpSpPr/>
      </xdr:nvGrpSpPr>
      <xdr:grpSpPr>
        <a:xfrm>
          <a:off x="3954780" y="6195060"/>
          <a:ext cx="1668780" cy="7620"/>
          <a:chOff x="853440" y="2072640"/>
          <a:chExt cx="1668780" cy="7620"/>
        </a:xfrm>
      </xdr:grpSpPr>
      <xdr:cxnSp macro="">
        <xdr:nvCxnSpPr>
          <xdr:cNvPr id="102" name="直線矢印コネクタ 101">
            <a:extLst>
              <a:ext uri="{FF2B5EF4-FFF2-40B4-BE49-F238E27FC236}">
                <a16:creationId xmlns:a16="http://schemas.microsoft.com/office/drawing/2014/main" id="{814C5D00-2707-6B85-725B-8D57D3D24C1A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" name="直線矢印コネクタ 102">
            <a:extLst>
              <a:ext uri="{FF2B5EF4-FFF2-40B4-BE49-F238E27FC236}">
                <a16:creationId xmlns:a16="http://schemas.microsoft.com/office/drawing/2014/main" id="{350B09E0-EF3B-C867-CFC7-98A1BBB6C7B4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30</xdr:row>
      <xdr:rowOff>198120</xdr:rowOff>
    </xdr:from>
    <xdr:to>
      <xdr:col>19</xdr:col>
      <xdr:colOff>259080</xdr:colOff>
      <xdr:row>30</xdr:row>
      <xdr:rowOff>205740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6481534B-23EA-4592-A2B0-CB00FA07B6E4}"/>
            </a:ext>
          </a:extLst>
        </xdr:cNvPr>
        <xdr:cNvGrpSpPr/>
      </xdr:nvGrpSpPr>
      <xdr:grpSpPr>
        <a:xfrm>
          <a:off x="3954780" y="9616440"/>
          <a:ext cx="1668780" cy="7620"/>
          <a:chOff x="853440" y="2072640"/>
          <a:chExt cx="1668780" cy="7620"/>
        </a:xfrm>
      </xdr:grpSpPr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96EDE994-9098-A219-35AE-B4B066433716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7E654686-2CB9-6C82-76B2-80D1AAA7AF5B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30</xdr:row>
      <xdr:rowOff>205740</xdr:rowOff>
    </xdr:from>
    <xdr:to>
      <xdr:col>13</xdr:col>
      <xdr:colOff>274320</xdr:colOff>
      <xdr:row>30</xdr:row>
      <xdr:rowOff>213360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1D13EE61-F926-432D-8600-62FED079082F}"/>
            </a:ext>
          </a:extLst>
        </xdr:cNvPr>
        <xdr:cNvGrpSpPr/>
      </xdr:nvGrpSpPr>
      <xdr:grpSpPr>
        <a:xfrm>
          <a:off x="571500" y="9624060"/>
          <a:ext cx="3375660" cy="7620"/>
          <a:chOff x="853440" y="2072640"/>
          <a:chExt cx="3375660" cy="7620"/>
        </a:xfrm>
      </xdr:grpSpPr>
      <xdr:cxnSp macro="">
        <xdr:nvCxnSpPr>
          <xdr:cNvPr id="48" name="直線矢印コネクタ 47">
            <a:extLst>
              <a:ext uri="{FF2B5EF4-FFF2-40B4-BE49-F238E27FC236}">
                <a16:creationId xmlns:a16="http://schemas.microsoft.com/office/drawing/2014/main" id="{BB1E2B17-97C5-AA10-2972-E823112B2BC8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直線矢印コネクタ 48">
            <a:extLst>
              <a:ext uri="{FF2B5EF4-FFF2-40B4-BE49-F238E27FC236}">
                <a16:creationId xmlns:a16="http://schemas.microsoft.com/office/drawing/2014/main" id="{9B9F0A7A-E3F8-ED5B-F6FC-C3CA756CB27D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172720</xdr:colOff>
      <xdr:row>40</xdr:row>
      <xdr:rowOff>193040</xdr:rowOff>
    </xdr:from>
    <xdr:to>
      <xdr:col>32</xdr:col>
      <xdr:colOff>5080</xdr:colOff>
      <xdr:row>40</xdr:row>
      <xdr:rowOff>200660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D8E5FA18-B20E-4857-A4E2-6CB15470A8C3}"/>
            </a:ext>
          </a:extLst>
        </xdr:cNvPr>
        <xdr:cNvGrpSpPr/>
      </xdr:nvGrpSpPr>
      <xdr:grpSpPr>
        <a:xfrm>
          <a:off x="2435860" y="13063220"/>
          <a:ext cx="6598920" cy="7620"/>
          <a:chOff x="853440" y="2072640"/>
          <a:chExt cx="6751320" cy="7620"/>
        </a:xfrm>
      </xdr:grpSpPr>
      <xdr:cxnSp macro="">
        <xdr:nvCxnSpPr>
          <xdr:cNvPr id="75" name="直線矢印コネクタ 74">
            <a:extLst>
              <a:ext uri="{FF2B5EF4-FFF2-40B4-BE49-F238E27FC236}">
                <a16:creationId xmlns:a16="http://schemas.microsoft.com/office/drawing/2014/main" id="{4360AE8F-0373-BDD4-B538-791778B9488E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直線矢印コネクタ 75">
            <a:extLst>
              <a:ext uri="{FF2B5EF4-FFF2-40B4-BE49-F238E27FC236}">
                <a16:creationId xmlns:a16="http://schemas.microsoft.com/office/drawing/2014/main" id="{C4D9DC5D-1312-67E6-5B22-87AE29303032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30</xdr:row>
      <xdr:rowOff>198120</xdr:rowOff>
    </xdr:from>
    <xdr:to>
      <xdr:col>25</xdr:col>
      <xdr:colOff>259080</xdr:colOff>
      <xdr:row>30</xdr:row>
      <xdr:rowOff>205740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1C89C69C-95CB-4F54-8EBE-27110F2CEB77}"/>
            </a:ext>
          </a:extLst>
        </xdr:cNvPr>
        <xdr:cNvGrpSpPr/>
      </xdr:nvGrpSpPr>
      <xdr:grpSpPr>
        <a:xfrm>
          <a:off x="5646420" y="9616440"/>
          <a:ext cx="1668780" cy="7620"/>
          <a:chOff x="853440" y="2072640"/>
          <a:chExt cx="1668780" cy="7620"/>
        </a:xfrm>
      </xdr:grpSpPr>
      <xdr:cxnSp macro="">
        <xdr:nvCxnSpPr>
          <xdr:cNvPr id="78" name="直線矢印コネクタ 77">
            <a:extLst>
              <a:ext uri="{FF2B5EF4-FFF2-40B4-BE49-F238E27FC236}">
                <a16:creationId xmlns:a16="http://schemas.microsoft.com/office/drawing/2014/main" id="{A48D6E1F-8259-B7C4-4BAA-063A6182B670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直線矢印コネクタ 78">
            <a:extLst>
              <a:ext uri="{FF2B5EF4-FFF2-40B4-BE49-F238E27FC236}">
                <a16:creationId xmlns:a16="http://schemas.microsoft.com/office/drawing/2014/main" id="{7BA21BAE-6B2C-3128-6272-D46B814AEA02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20</xdr:row>
      <xdr:rowOff>205740</xdr:rowOff>
    </xdr:from>
    <xdr:to>
      <xdr:col>37</xdr:col>
      <xdr:colOff>274320</xdr:colOff>
      <xdr:row>20</xdr:row>
      <xdr:rowOff>213360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238D5332-7ADD-4811-A6B8-B7DEDF8CA8E3}"/>
            </a:ext>
          </a:extLst>
        </xdr:cNvPr>
        <xdr:cNvGrpSpPr/>
      </xdr:nvGrpSpPr>
      <xdr:grpSpPr>
        <a:xfrm>
          <a:off x="7338060" y="6172200"/>
          <a:ext cx="3375660" cy="7620"/>
          <a:chOff x="853440" y="2072640"/>
          <a:chExt cx="3375660" cy="7620"/>
        </a:xfrm>
      </xdr:grpSpPr>
      <xdr:cxnSp macro="">
        <xdr:nvCxnSpPr>
          <xdr:cNvPr id="81" name="直線矢印コネクタ 80">
            <a:extLst>
              <a:ext uri="{FF2B5EF4-FFF2-40B4-BE49-F238E27FC236}">
                <a16:creationId xmlns:a16="http://schemas.microsoft.com/office/drawing/2014/main" id="{A5A8FDA9-4398-C3D7-1D5F-EF2167D908CE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直線矢印コネクタ 81">
            <a:extLst>
              <a:ext uri="{FF2B5EF4-FFF2-40B4-BE49-F238E27FC236}">
                <a16:creationId xmlns:a16="http://schemas.microsoft.com/office/drawing/2014/main" id="{365FE56A-0146-527D-A218-1AA4A8910F19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20</xdr:row>
      <xdr:rowOff>228600</xdr:rowOff>
    </xdr:from>
    <xdr:to>
      <xdr:col>13</xdr:col>
      <xdr:colOff>259080</xdr:colOff>
      <xdr:row>20</xdr:row>
      <xdr:rowOff>236220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E5FEDE9A-D8F9-480B-9415-B62DB3027F6B}"/>
            </a:ext>
          </a:extLst>
        </xdr:cNvPr>
        <xdr:cNvGrpSpPr/>
      </xdr:nvGrpSpPr>
      <xdr:grpSpPr>
        <a:xfrm>
          <a:off x="2263140" y="6195060"/>
          <a:ext cx="1668780" cy="7620"/>
          <a:chOff x="853440" y="2072640"/>
          <a:chExt cx="1668780" cy="7620"/>
        </a:xfrm>
      </xdr:grpSpPr>
      <xdr:cxnSp macro="">
        <xdr:nvCxnSpPr>
          <xdr:cNvPr id="84" name="直線矢印コネクタ 83">
            <a:extLst>
              <a:ext uri="{FF2B5EF4-FFF2-40B4-BE49-F238E27FC236}">
                <a16:creationId xmlns:a16="http://schemas.microsoft.com/office/drawing/2014/main" id="{20B99D70-43E1-310C-584C-2F80DB7D3483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直線矢印コネクタ 84">
            <a:extLst>
              <a:ext uri="{FF2B5EF4-FFF2-40B4-BE49-F238E27FC236}">
                <a16:creationId xmlns:a16="http://schemas.microsoft.com/office/drawing/2014/main" id="{C7924156-B405-242A-97D8-58EEB94F4AB7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20</xdr:row>
      <xdr:rowOff>228600</xdr:rowOff>
    </xdr:from>
    <xdr:to>
      <xdr:col>7</xdr:col>
      <xdr:colOff>259080</xdr:colOff>
      <xdr:row>20</xdr:row>
      <xdr:rowOff>236220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26CAA199-AE12-4535-8323-C92ACD468640}"/>
            </a:ext>
          </a:extLst>
        </xdr:cNvPr>
        <xdr:cNvGrpSpPr/>
      </xdr:nvGrpSpPr>
      <xdr:grpSpPr>
        <a:xfrm>
          <a:off x="571500" y="6195060"/>
          <a:ext cx="1668780" cy="7620"/>
          <a:chOff x="853440" y="2072640"/>
          <a:chExt cx="1668780" cy="7620"/>
        </a:xfrm>
      </xdr:grpSpPr>
      <xdr:cxnSp macro="">
        <xdr:nvCxnSpPr>
          <xdr:cNvPr id="87" name="直線矢印コネクタ 86">
            <a:extLst>
              <a:ext uri="{FF2B5EF4-FFF2-40B4-BE49-F238E27FC236}">
                <a16:creationId xmlns:a16="http://schemas.microsoft.com/office/drawing/2014/main" id="{B2AD3710-1FCC-22BE-3F14-4232CD22D67C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直線矢印コネクタ 87">
            <a:extLst>
              <a:ext uri="{FF2B5EF4-FFF2-40B4-BE49-F238E27FC236}">
                <a16:creationId xmlns:a16="http://schemas.microsoft.com/office/drawing/2014/main" id="{99FF470C-0145-7405-3D9A-034E0972579D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10</xdr:row>
      <xdr:rowOff>190500</xdr:rowOff>
    </xdr:from>
    <xdr:to>
      <xdr:col>37</xdr:col>
      <xdr:colOff>214923</xdr:colOff>
      <xdr:row>10</xdr:row>
      <xdr:rowOff>198120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F05C935-B79D-4DF0-BFCB-6A67597BC8B9}"/>
            </a:ext>
          </a:extLst>
        </xdr:cNvPr>
        <xdr:cNvGrpSpPr/>
      </xdr:nvGrpSpPr>
      <xdr:grpSpPr>
        <a:xfrm>
          <a:off x="5646420" y="2705100"/>
          <a:ext cx="5007903" cy="7620"/>
          <a:chOff x="2493270" y="2072640"/>
          <a:chExt cx="5111490" cy="7620"/>
        </a:xfrm>
      </xdr:grpSpPr>
      <xdr:cxnSp macro="">
        <xdr:nvCxnSpPr>
          <xdr:cNvPr id="90" name="直線矢印コネクタ 89">
            <a:extLst>
              <a:ext uri="{FF2B5EF4-FFF2-40B4-BE49-F238E27FC236}">
                <a16:creationId xmlns:a16="http://schemas.microsoft.com/office/drawing/2014/main" id="{18B09E9A-FE95-EFC8-9F2F-20DB4B3E3A7E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直線矢印コネクタ 90">
            <a:extLst>
              <a:ext uri="{FF2B5EF4-FFF2-40B4-BE49-F238E27FC236}">
                <a16:creationId xmlns:a16="http://schemas.microsoft.com/office/drawing/2014/main" id="{5E76D29B-2949-E1FE-15E5-04919CEE7D43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20320</xdr:colOff>
      <xdr:row>10</xdr:row>
      <xdr:rowOff>213360</xdr:rowOff>
    </xdr:from>
    <xdr:to>
      <xdr:col>13</xdr:col>
      <xdr:colOff>231140</xdr:colOff>
      <xdr:row>10</xdr:row>
      <xdr:rowOff>220980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ECE5EDD0-3A88-491B-A4A4-B8C995331A51}"/>
            </a:ext>
          </a:extLst>
        </xdr:cNvPr>
        <xdr:cNvGrpSpPr/>
      </xdr:nvGrpSpPr>
      <xdr:grpSpPr>
        <a:xfrm>
          <a:off x="591820" y="2727960"/>
          <a:ext cx="3312160" cy="7620"/>
          <a:chOff x="853440" y="2072640"/>
          <a:chExt cx="3375660" cy="7620"/>
        </a:xfrm>
      </xdr:grpSpPr>
      <xdr:cxnSp macro="">
        <xdr:nvCxnSpPr>
          <xdr:cNvPr id="93" name="直線矢印コネクタ 92">
            <a:extLst>
              <a:ext uri="{FF2B5EF4-FFF2-40B4-BE49-F238E27FC236}">
                <a16:creationId xmlns:a16="http://schemas.microsoft.com/office/drawing/2014/main" id="{ADCFA438-C102-3437-D059-0F416CECCF1B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直線矢印コネクタ 93">
            <a:extLst>
              <a:ext uri="{FF2B5EF4-FFF2-40B4-BE49-F238E27FC236}">
                <a16:creationId xmlns:a16="http://schemas.microsoft.com/office/drawing/2014/main" id="{DCBB8542-8C3D-DB32-3DA5-8397956CD7F6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20</xdr:row>
      <xdr:rowOff>228600</xdr:rowOff>
    </xdr:from>
    <xdr:to>
      <xdr:col>19</xdr:col>
      <xdr:colOff>259080</xdr:colOff>
      <xdr:row>20</xdr:row>
      <xdr:rowOff>236220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4603CA16-C59C-4867-88F9-BFB2F9569599}"/>
            </a:ext>
          </a:extLst>
        </xdr:cNvPr>
        <xdr:cNvGrpSpPr/>
      </xdr:nvGrpSpPr>
      <xdr:grpSpPr>
        <a:xfrm>
          <a:off x="3954780" y="6195060"/>
          <a:ext cx="1668780" cy="7620"/>
          <a:chOff x="853440" y="2072640"/>
          <a:chExt cx="1668780" cy="7620"/>
        </a:xfrm>
      </xdr:grpSpPr>
      <xdr:cxnSp macro="">
        <xdr:nvCxnSpPr>
          <xdr:cNvPr id="96" name="直線矢印コネクタ 95">
            <a:extLst>
              <a:ext uri="{FF2B5EF4-FFF2-40B4-BE49-F238E27FC236}">
                <a16:creationId xmlns:a16="http://schemas.microsoft.com/office/drawing/2014/main" id="{F86A4AA0-FA0A-328F-B5C2-92493D3DEFD0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" name="直線矢印コネクタ 96">
            <a:extLst>
              <a:ext uri="{FF2B5EF4-FFF2-40B4-BE49-F238E27FC236}">
                <a16:creationId xmlns:a16="http://schemas.microsoft.com/office/drawing/2014/main" id="{64625020-DAAD-18C2-4AB4-B8D0CBDF475C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91440</xdr:rowOff>
    </xdr:from>
    <xdr:to>
      <xdr:col>3</xdr:col>
      <xdr:colOff>190500</xdr:colOff>
      <xdr:row>2</xdr:row>
      <xdr:rowOff>99060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A10F964-823B-4ED9-B011-449A737980C8}"/>
            </a:ext>
          </a:extLst>
        </xdr:cNvPr>
        <xdr:cNvGrpSpPr/>
      </xdr:nvGrpSpPr>
      <xdr:grpSpPr>
        <a:xfrm>
          <a:off x="533400" y="548640"/>
          <a:ext cx="1714500" cy="7620"/>
          <a:chOff x="853440" y="2072640"/>
          <a:chExt cx="1668780" cy="7620"/>
        </a:xfrm>
      </xdr:grpSpPr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28522EB6-6180-5E8C-FF2A-7A25C9A48D7F}"/>
              </a:ext>
            </a:extLst>
          </xdr:cNvPr>
          <xdr:cNvCxnSpPr/>
        </xdr:nvCxnSpPr>
        <xdr:spPr>
          <a:xfrm flipH="1">
            <a:off x="853440" y="208026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直線矢印コネクタ 3">
            <a:extLst>
              <a:ext uri="{FF2B5EF4-FFF2-40B4-BE49-F238E27FC236}">
                <a16:creationId xmlns:a16="http://schemas.microsoft.com/office/drawing/2014/main" id="{F140A458-342D-CC09-3C02-C51AAF8568C3}"/>
              </a:ext>
            </a:extLst>
          </xdr:cNvPr>
          <xdr:cNvCxnSpPr/>
        </xdr:nvCxnSpPr>
        <xdr:spPr>
          <a:xfrm>
            <a:off x="2301240" y="2072640"/>
            <a:ext cx="22098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251460</xdr:colOff>
      <xdr:row>4</xdr:row>
      <xdr:rowOff>0</xdr:rowOff>
    </xdr:from>
    <xdr:to>
      <xdr:col>5</xdr:col>
      <xdr:colOff>274320</xdr:colOff>
      <xdr:row>4</xdr:row>
      <xdr:rowOff>7620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78006ECA-11E7-427A-BD51-8817978AF0F9}"/>
            </a:ext>
          </a:extLst>
        </xdr:cNvPr>
        <xdr:cNvGrpSpPr/>
      </xdr:nvGrpSpPr>
      <xdr:grpSpPr>
        <a:xfrm>
          <a:off x="251460" y="914400"/>
          <a:ext cx="3451860" cy="7620"/>
          <a:chOff x="853440" y="2072640"/>
          <a:chExt cx="3375660" cy="7620"/>
        </a:xfrm>
      </xdr:grpSpPr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40BB8AB0-ABF1-E544-9C1F-6986E88DF89E}"/>
              </a:ext>
            </a:extLst>
          </xdr:cNvPr>
          <xdr:cNvCxnSpPr/>
        </xdr:nvCxnSpPr>
        <xdr:spPr>
          <a:xfrm flipH="1">
            <a:off x="853440" y="2080260"/>
            <a:ext cx="54864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950D0F24-93EA-CF5E-C742-C8156C1E2DCE}"/>
              </a:ext>
            </a:extLst>
          </xdr:cNvPr>
          <xdr:cNvCxnSpPr/>
        </xdr:nvCxnSpPr>
        <xdr:spPr>
          <a:xfrm>
            <a:off x="3726180" y="2072640"/>
            <a:ext cx="502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106680</xdr:colOff>
      <xdr:row>6</xdr:row>
      <xdr:rowOff>91440</xdr:rowOff>
    </xdr:from>
    <xdr:to>
      <xdr:col>10</xdr:col>
      <xdr:colOff>152400</xdr:colOff>
      <xdr:row>6</xdr:row>
      <xdr:rowOff>99060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AF3AC4C0-E871-46FE-BA4F-53B38F05E7B5}"/>
            </a:ext>
          </a:extLst>
        </xdr:cNvPr>
        <xdr:cNvGrpSpPr/>
      </xdr:nvGrpSpPr>
      <xdr:grpSpPr>
        <a:xfrm>
          <a:off x="106680" y="1463040"/>
          <a:ext cx="6903720" cy="7620"/>
          <a:chOff x="853440" y="2072640"/>
          <a:chExt cx="6751320" cy="7620"/>
        </a:xfrm>
      </xdr:grpSpPr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2D580688-1012-DF1A-D602-1FE818345692}"/>
              </a:ext>
            </a:extLst>
          </xdr:cNvPr>
          <xdr:cNvCxnSpPr/>
        </xdr:nvCxnSpPr>
        <xdr:spPr>
          <a:xfrm flipH="1">
            <a:off x="85344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0E0C17D1-D15D-61EE-6CF6-60EBB23CA3F7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274320</xdr:colOff>
      <xdr:row>5</xdr:row>
      <xdr:rowOff>121920</xdr:rowOff>
    </xdr:from>
    <xdr:to>
      <xdr:col>7</xdr:col>
      <xdr:colOff>571305</xdr:colOff>
      <xdr:row>5</xdr:row>
      <xdr:rowOff>129540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0BA88E41-A3A7-4376-9C14-E2CE999E4BBE}"/>
            </a:ext>
          </a:extLst>
        </xdr:cNvPr>
        <xdr:cNvGrpSpPr/>
      </xdr:nvGrpSpPr>
      <xdr:grpSpPr>
        <a:xfrm>
          <a:off x="274320" y="1264920"/>
          <a:ext cx="5097585" cy="7620"/>
          <a:chOff x="2493270" y="2072640"/>
          <a:chExt cx="5111490" cy="7620"/>
        </a:xfrm>
      </xdr:grpSpPr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28317793-AB46-9C72-5E31-1802B0B08279}"/>
              </a:ext>
            </a:extLst>
          </xdr:cNvPr>
          <xdr:cNvCxnSpPr/>
        </xdr:nvCxnSpPr>
        <xdr:spPr>
          <a:xfrm flipH="1">
            <a:off x="2493270" y="2080260"/>
            <a:ext cx="162306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499012CC-3FAB-9380-366D-70644053CFB2}"/>
              </a:ext>
            </a:extLst>
          </xdr:cNvPr>
          <xdr:cNvCxnSpPr/>
        </xdr:nvCxnSpPr>
        <xdr:spPr>
          <a:xfrm>
            <a:off x="5958840" y="2072640"/>
            <a:ext cx="16459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8EC6-B0AA-470E-A6D9-CF91DD39963A}">
  <sheetPr>
    <pageSetUpPr fitToPage="1"/>
  </sheetPr>
  <dimension ref="A1:AL51"/>
  <sheetViews>
    <sheetView tabSelected="1" view="pageBreakPreview" zoomScaleNormal="100" zoomScaleSheetLayoutView="100" zoomScalePageLayoutView="75" workbookViewId="0">
      <selection sqref="A1:B1"/>
    </sheetView>
  </sheetViews>
  <sheetFormatPr defaultColWidth="3.69921875" defaultRowHeight="18"/>
  <cols>
    <col min="1" max="1" width="3.796875" style="1" customWidth="1"/>
    <col min="2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18" t="s">
        <v>18</v>
      </c>
      <c r="B1" s="18"/>
      <c r="C1" s="14" t="s">
        <v>61</v>
      </c>
      <c r="D1" s="14"/>
      <c r="E1" s="14"/>
      <c r="F1" s="14"/>
      <c r="G1" s="14"/>
      <c r="H1" s="14"/>
      <c r="I1" s="14"/>
      <c r="J1" s="14"/>
      <c r="L1" s="18" t="s">
        <v>23</v>
      </c>
      <c r="M1" s="18"/>
      <c r="N1" s="18"/>
      <c r="O1" s="18"/>
      <c r="P1" s="18"/>
      <c r="Q1" s="18"/>
      <c r="R1" s="18"/>
      <c r="S1" s="18"/>
      <c r="T1" s="18"/>
      <c r="U1" s="18"/>
      <c r="W1" s="18" t="s">
        <v>20</v>
      </c>
      <c r="X1" s="18"/>
      <c r="Y1" s="18"/>
      <c r="Z1" s="18"/>
      <c r="AA1" s="14" t="s">
        <v>63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>
      <c r="A2" s="18" t="s">
        <v>19</v>
      </c>
      <c r="B2" s="18"/>
      <c r="C2" s="14" t="s">
        <v>62</v>
      </c>
      <c r="D2" s="14"/>
      <c r="E2" s="14"/>
      <c r="F2" s="14"/>
      <c r="G2" s="14"/>
      <c r="H2" s="14"/>
      <c r="I2" s="14"/>
      <c r="J2" s="14"/>
      <c r="L2" s="14" t="s">
        <v>24</v>
      </c>
      <c r="M2" s="14"/>
      <c r="N2" s="14"/>
      <c r="O2" s="14"/>
      <c r="P2" s="14"/>
      <c r="Q2" s="14"/>
      <c r="R2" s="14" t="s">
        <v>25</v>
      </c>
      <c r="S2" s="14"/>
      <c r="T2" s="14"/>
      <c r="U2" s="14"/>
      <c r="W2" s="18" t="s">
        <v>21</v>
      </c>
      <c r="X2" s="18"/>
      <c r="Y2" s="18"/>
      <c r="Z2" s="18"/>
      <c r="AA2" s="14" t="s">
        <v>64</v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>
      <c r="L3" s="14"/>
      <c r="M3" s="14"/>
      <c r="N3" s="14"/>
      <c r="O3" s="14"/>
      <c r="P3" s="14"/>
      <c r="Q3" s="14"/>
      <c r="R3" s="14"/>
      <c r="S3" s="14"/>
      <c r="T3" s="14"/>
      <c r="U3" s="14"/>
      <c r="W3" s="78" t="s">
        <v>22</v>
      </c>
      <c r="X3" s="79"/>
      <c r="Y3" s="79"/>
      <c r="Z3" s="80"/>
      <c r="AA3" s="14" t="s">
        <v>67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>
      <c r="W4" s="81"/>
      <c r="X4" s="82"/>
      <c r="Y4" s="82"/>
      <c r="Z4" s="83"/>
      <c r="AA4" s="14" t="s">
        <v>66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>
      <c r="W5" s="84"/>
      <c r="X5" s="85"/>
      <c r="Y5" s="85"/>
      <c r="Z5" s="86"/>
      <c r="AA5" s="14" t="s">
        <v>65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8" spans="1:38">
      <c r="A8" s="1" t="s">
        <v>84</v>
      </c>
      <c r="D8" s="20">
        <v>0.41666666666666669</v>
      </c>
      <c r="E8" s="20"/>
      <c r="F8" s="20"/>
    </row>
    <row r="9" spans="1:38" s="2" customFormat="1" ht="18.600000000000001" thickBot="1">
      <c r="A9" s="23"/>
      <c r="B9" s="23"/>
      <c r="C9" s="28">
        <f>D8</f>
        <v>0.41666666666666669</v>
      </c>
      <c r="D9" s="28"/>
      <c r="E9" s="28"/>
      <c r="F9" s="28"/>
      <c r="G9" s="28"/>
      <c r="H9" s="29"/>
      <c r="I9" s="27">
        <f>C9+'参照用（触らない）'!$A$2</f>
        <v>0.4375</v>
      </c>
      <c r="J9" s="28"/>
      <c r="K9" s="28"/>
      <c r="L9" s="28"/>
      <c r="M9" s="28"/>
      <c r="N9" s="28"/>
      <c r="O9" s="28">
        <f>C9+'参照用（触らない）'!$A$1</f>
        <v>0.45833333333333337</v>
      </c>
      <c r="P9" s="28"/>
      <c r="Q9" s="28"/>
      <c r="R9" s="28"/>
      <c r="S9" s="28"/>
      <c r="T9" s="29"/>
      <c r="U9" s="27">
        <f>O9+'参照用（触らない）'!$A$2</f>
        <v>0.47916666666666669</v>
      </c>
      <c r="V9" s="28"/>
      <c r="W9" s="28"/>
      <c r="X9" s="28"/>
      <c r="Y9" s="28"/>
      <c r="Z9" s="28"/>
      <c r="AA9" s="28">
        <f>O9+'参照用（触らない）'!$A$1</f>
        <v>0.5</v>
      </c>
      <c r="AB9" s="28"/>
      <c r="AC9" s="28"/>
      <c r="AD9" s="28"/>
      <c r="AE9" s="28"/>
      <c r="AF9" s="29"/>
      <c r="AG9" s="27">
        <f>AA9+'参照用（触らない）'!$A$2</f>
        <v>0.52083333333333337</v>
      </c>
      <c r="AH9" s="28"/>
      <c r="AI9" s="28"/>
      <c r="AJ9" s="28"/>
      <c r="AK9" s="28"/>
      <c r="AL9" s="28"/>
    </row>
    <row r="10" spans="1:38" ht="35.4" customHeight="1" thickTop="1">
      <c r="A10" s="19" t="s">
        <v>16</v>
      </c>
      <c r="B10" s="19"/>
      <c r="C10" s="39" t="s">
        <v>85</v>
      </c>
      <c r="D10" s="39"/>
      <c r="E10" s="39"/>
      <c r="F10" s="39"/>
      <c r="G10" s="39"/>
      <c r="H10" s="40"/>
      <c r="I10" s="46" t="s">
        <v>86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 t="s">
        <v>26</v>
      </c>
      <c r="AH10" s="47"/>
      <c r="AI10" s="47"/>
      <c r="AJ10" s="47"/>
      <c r="AK10" s="47"/>
      <c r="AL10" s="87"/>
    </row>
    <row r="11" spans="1:38" ht="35.4" customHeight="1" thickBot="1">
      <c r="A11" s="18" t="s">
        <v>4</v>
      </c>
      <c r="B11" s="18"/>
      <c r="C11" s="35"/>
      <c r="D11" s="35"/>
      <c r="E11" s="35"/>
      <c r="F11" s="35"/>
      <c r="G11" s="35"/>
      <c r="H11" s="41"/>
      <c r="I11" s="34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41"/>
      <c r="U11" s="34"/>
      <c r="V11" s="35"/>
      <c r="W11" s="35"/>
      <c r="X11" s="35"/>
      <c r="Y11" s="35"/>
      <c r="Z11" s="35"/>
      <c r="AA11" s="30"/>
      <c r="AB11" s="30"/>
      <c r="AC11" s="30"/>
      <c r="AD11" s="30"/>
      <c r="AE11" s="30"/>
      <c r="AF11" s="31"/>
      <c r="AG11" s="33"/>
      <c r="AH11" s="30"/>
      <c r="AI11" s="30"/>
      <c r="AJ11" s="30"/>
      <c r="AK11" s="30"/>
      <c r="AL11" s="30"/>
    </row>
    <row r="12" spans="1:38" ht="35.4" customHeight="1" thickTop="1" thickBot="1">
      <c r="A12" s="24" t="s">
        <v>6</v>
      </c>
      <c r="B12" s="24"/>
      <c r="C12" s="42" t="s">
        <v>85</v>
      </c>
      <c r="D12" s="42"/>
      <c r="E12" s="42"/>
      <c r="F12" s="42"/>
      <c r="G12" s="42"/>
      <c r="H12" s="43"/>
      <c r="I12" s="25" t="s">
        <v>86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 t="s">
        <v>26</v>
      </c>
      <c r="AH12" s="26"/>
      <c r="AI12" s="26"/>
      <c r="AJ12" s="26"/>
      <c r="AK12" s="26"/>
      <c r="AL12" s="90"/>
    </row>
    <row r="13" spans="1:38" ht="57" customHeight="1" thickTop="1">
      <c r="A13" s="19" t="s">
        <v>17</v>
      </c>
      <c r="B13" s="19"/>
      <c r="C13" s="44" t="s">
        <v>93</v>
      </c>
      <c r="D13" s="44"/>
      <c r="E13" s="44"/>
      <c r="F13" s="44"/>
      <c r="G13" s="44"/>
      <c r="H13" s="45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2"/>
      <c r="U13" s="36"/>
      <c r="V13" s="37"/>
      <c r="W13" s="37"/>
      <c r="X13" s="37"/>
      <c r="Y13" s="37"/>
      <c r="Z13" s="38"/>
      <c r="AA13" s="22"/>
      <c r="AB13" s="22"/>
      <c r="AC13" s="22"/>
      <c r="AD13" s="22"/>
      <c r="AE13" s="22"/>
      <c r="AF13" s="32"/>
      <c r="AG13" s="21"/>
      <c r="AH13" s="22"/>
      <c r="AI13" s="22"/>
      <c r="AJ13" s="22"/>
      <c r="AK13" s="22"/>
      <c r="AL13" s="22"/>
    </row>
    <row r="19" spans="1:38" ht="18.600000000000001" thickBot="1">
      <c r="A19" s="23"/>
      <c r="B19" s="23"/>
      <c r="C19" s="28">
        <f>AA9+'参照用（触らない）'!$A$1</f>
        <v>0.54166666666666663</v>
      </c>
      <c r="D19" s="28"/>
      <c r="E19" s="28"/>
      <c r="F19" s="28"/>
      <c r="G19" s="28"/>
      <c r="H19" s="29"/>
      <c r="I19" s="27">
        <f>C19+'参照用（触らない）'!$A$2</f>
        <v>0.5625</v>
      </c>
      <c r="J19" s="28"/>
      <c r="K19" s="28"/>
      <c r="L19" s="28"/>
      <c r="M19" s="28"/>
      <c r="N19" s="28"/>
      <c r="O19" s="28">
        <f>C19+'参照用（触らない）'!$A$1</f>
        <v>0.58333333333333326</v>
      </c>
      <c r="P19" s="28"/>
      <c r="Q19" s="28"/>
      <c r="R19" s="28"/>
      <c r="S19" s="28"/>
      <c r="T19" s="29"/>
      <c r="U19" s="27">
        <f>O19+'参照用（触らない）'!$A$2</f>
        <v>0.60416666666666663</v>
      </c>
      <c r="V19" s="28"/>
      <c r="W19" s="28"/>
      <c r="X19" s="28"/>
      <c r="Y19" s="28"/>
      <c r="Z19" s="28"/>
      <c r="AA19" s="28">
        <f>O19+'参照用（触らない）'!$A$1</f>
        <v>0.62499999999999989</v>
      </c>
      <c r="AB19" s="28"/>
      <c r="AC19" s="28"/>
      <c r="AD19" s="28"/>
      <c r="AE19" s="28"/>
      <c r="AF19" s="29"/>
      <c r="AG19" s="27">
        <f>AA19+'参照用（触らない）'!$A$2</f>
        <v>0.64583333333333326</v>
      </c>
      <c r="AH19" s="28"/>
      <c r="AI19" s="28"/>
      <c r="AJ19" s="28"/>
      <c r="AK19" s="28"/>
      <c r="AL19" s="28"/>
    </row>
    <row r="20" spans="1:38" ht="35.4" customHeight="1" thickTop="1">
      <c r="A20" s="19" t="s">
        <v>16</v>
      </c>
      <c r="B20" s="19"/>
      <c r="C20" s="88" t="s">
        <v>26</v>
      </c>
      <c r="D20" s="47"/>
      <c r="E20" s="47"/>
      <c r="F20" s="47"/>
      <c r="G20" s="47"/>
      <c r="H20" s="47"/>
      <c r="I20" s="47" t="s">
        <v>87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 t="s">
        <v>89</v>
      </c>
      <c r="AH20" s="47"/>
      <c r="AI20" s="47"/>
      <c r="AJ20" s="47"/>
      <c r="AK20" s="47"/>
      <c r="AL20" s="87"/>
    </row>
    <row r="21" spans="1:38" ht="35.4" customHeight="1" thickBot="1">
      <c r="A21" s="18" t="s">
        <v>4</v>
      </c>
      <c r="B21" s="18"/>
      <c r="C21" s="53"/>
      <c r="D21" s="53"/>
      <c r="E21" s="53"/>
      <c r="F21" s="53"/>
      <c r="G21" s="53"/>
      <c r="H21" s="48"/>
      <c r="I21" s="99"/>
      <c r="J21" s="53"/>
      <c r="K21" s="53"/>
      <c r="L21" s="53"/>
      <c r="M21" s="53"/>
      <c r="N21" s="53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/>
      <c r="AA21" s="53"/>
      <c r="AB21" s="53"/>
      <c r="AC21" s="53"/>
      <c r="AD21" s="53"/>
      <c r="AE21" s="53"/>
      <c r="AF21" s="48"/>
      <c r="AG21" s="99"/>
      <c r="AH21" s="53"/>
      <c r="AI21" s="53"/>
      <c r="AJ21" s="53"/>
      <c r="AK21" s="53"/>
      <c r="AL21" s="53"/>
    </row>
    <row r="22" spans="1:38" ht="35.4" customHeight="1" thickTop="1" thickBot="1">
      <c r="A22" s="24" t="s">
        <v>6</v>
      </c>
      <c r="B22" s="24"/>
      <c r="C22" s="91" t="s">
        <v>26</v>
      </c>
      <c r="D22" s="26"/>
      <c r="E22" s="26"/>
      <c r="F22" s="26"/>
      <c r="G22" s="26"/>
      <c r="H22" s="26"/>
      <c r="I22" s="26" t="s">
        <v>87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 t="s">
        <v>89</v>
      </c>
      <c r="AH22" s="26"/>
      <c r="AI22" s="26"/>
      <c r="AJ22" s="26"/>
      <c r="AK22" s="26"/>
      <c r="AL22" s="90"/>
    </row>
    <row r="23" spans="1:38" ht="57" customHeight="1" thickTop="1">
      <c r="A23" s="19" t="s">
        <v>17</v>
      </c>
      <c r="B23" s="19"/>
      <c r="C23" s="44"/>
      <c r="D23" s="44"/>
      <c r="E23" s="44"/>
      <c r="F23" s="44"/>
      <c r="G23" s="44"/>
      <c r="H23" s="45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32"/>
      <c r="U23" s="51"/>
      <c r="V23" s="52"/>
      <c r="W23" s="52"/>
      <c r="X23" s="52"/>
      <c r="Y23" s="52"/>
      <c r="Z23" s="52"/>
      <c r="AA23" s="22"/>
      <c r="AB23" s="22"/>
      <c r="AC23" s="22"/>
      <c r="AD23" s="22"/>
      <c r="AE23" s="22"/>
      <c r="AF23" s="32"/>
      <c r="AG23" s="21"/>
      <c r="AH23" s="22"/>
      <c r="AI23" s="22"/>
      <c r="AJ23" s="22"/>
      <c r="AK23" s="22"/>
      <c r="AL23" s="22"/>
    </row>
    <row r="29" spans="1:38" ht="18.600000000000001" thickBot="1">
      <c r="A29" s="23"/>
      <c r="B29" s="23"/>
      <c r="C29" s="28">
        <f>AA19+'参照用（触らない）'!$A$1</f>
        <v>0.66666666666666652</v>
      </c>
      <c r="D29" s="28"/>
      <c r="E29" s="28"/>
      <c r="F29" s="28"/>
      <c r="G29" s="28"/>
      <c r="H29" s="29"/>
      <c r="I29" s="27">
        <f>C29+'参照用（触らない）'!$A$2</f>
        <v>0.68749999999999989</v>
      </c>
      <c r="J29" s="28"/>
      <c r="K29" s="28"/>
      <c r="L29" s="28"/>
      <c r="M29" s="28"/>
      <c r="N29" s="28"/>
      <c r="O29" s="28">
        <f>C29+'参照用（触らない）'!$A$1</f>
        <v>0.70833333333333315</v>
      </c>
      <c r="P29" s="28"/>
      <c r="Q29" s="28"/>
      <c r="R29" s="28"/>
      <c r="S29" s="28"/>
      <c r="T29" s="29"/>
      <c r="U29" s="27">
        <f>O29+'参照用（触らない）'!$A$2</f>
        <v>0.72916666666666652</v>
      </c>
      <c r="V29" s="28"/>
      <c r="W29" s="28"/>
      <c r="X29" s="28"/>
      <c r="Y29" s="28"/>
      <c r="Z29" s="28"/>
      <c r="AA29" s="28">
        <f>O29+'参照用（触らない）'!$A$1</f>
        <v>0.74999999999999978</v>
      </c>
      <c r="AB29" s="28"/>
      <c r="AC29" s="28"/>
      <c r="AD29" s="28"/>
      <c r="AE29" s="28"/>
      <c r="AF29" s="29"/>
      <c r="AG29" s="27">
        <f>AA29+'参照用（触らない）'!$A$2</f>
        <v>0.77083333333333315</v>
      </c>
      <c r="AH29" s="28"/>
      <c r="AI29" s="28"/>
      <c r="AJ29" s="28"/>
      <c r="AK29" s="28"/>
      <c r="AL29" s="28"/>
    </row>
    <row r="30" spans="1:38" ht="35.4" customHeight="1" thickTop="1">
      <c r="A30" s="19" t="s">
        <v>16</v>
      </c>
      <c r="B30" s="19"/>
      <c r="C30" s="47" t="s">
        <v>89</v>
      </c>
      <c r="D30" s="47"/>
      <c r="E30" s="47"/>
      <c r="F30" s="47"/>
      <c r="G30" s="47"/>
      <c r="H30" s="87"/>
      <c r="I30" s="88" t="s">
        <v>88</v>
      </c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87"/>
    </row>
    <row r="31" spans="1:38" ht="35.4" customHeight="1" thickBot="1">
      <c r="A31" s="18" t="s">
        <v>4</v>
      </c>
      <c r="B31" s="18"/>
      <c r="C31" s="58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89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89"/>
      <c r="AA31" s="58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89"/>
    </row>
    <row r="32" spans="1:38" ht="35.4" customHeight="1" thickTop="1" thickBot="1">
      <c r="A32" s="24" t="s">
        <v>6</v>
      </c>
      <c r="B32" s="24"/>
      <c r="C32" s="91" t="s">
        <v>89</v>
      </c>
      <c r="D32" s="26"/>
      <c r="E32" s="26"/>
      <c r="F32" s="26"/>
      <c r="G32" s="26"/>
      <c r="H32" s="90"/>
      <c r="I32" s="60" t="s">
        <v>88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94"/>
      <c r="AB32" s="94"/>
      <c r="AC32" s="94"/>
      <c r="AD32" s="94"/>
      <c r="AE32" s="94"/>
      <c r="AF32" s="95"/>
      <c r="AG32" s="96"/>
      <c r="AH32" s="94"/>
      <c r="AI32" s="94"/>
      <c r="AJ32" s="94"/>
      <c r="AK32" s="94"/>
      <c r="AL32" s="94"/>
    </row>
    <row r="33" spans="1:38" ht="57" customHeight="1" thickTop="1">
      <c r="A33" s="19" t="s">
        <v>17</v>
      </c>
      <c r="B33" s="19"/>
      <c r="C33" s="54" t="s">
        <v>94</v>
      </c>
      <c r="D33" s="54"/>
      <c r="E33" s="54"/>
      <c r="F33" s="54"/>
      <c r="G33" s="54"/>
      <c r="H33" s="55"/>
      <c r="I33" s="21"/>
      <c r="J33" s="22"/>
      <c r="K33" s="22"/>
      <c r="L33" s="22"/>
      <c r="M33" s="22"/>
      <c r="N33" s="22"/>
      <c r="O33" s="54"/>
      <c r="P33" s="54"/>
      <c r="Q33" s="54"/>
      <c r="R33" s="54"/>
      <c r="S33" s="54"/>
      <c r="T33" s="55"/>
      <c r="U33" s="56"/>
      <c r="V33" s="54"/>
      <c r="W33" s="54"/>
      <c r="X33" s="54"/>
      <c r="Y33" s="54"/>
      <c r="Z33" s="54"/>
      <c r="AA33" s="54" t="s">
        <v>111</v>
      </c>
      <c r="AB33" s="54"/>
      <c r="AC33" s="54"/>
      <c r="AD33" s="54"/>
      <c r="AE33" s="54"/>
      <c r="AF33" s="57"/>
      <c r="AG33" s="56" t="s">
        <v>95</v>
      </c>
      <c r="AH33" s="54"/>
      <c r="AI33" s="54"/>
      <c r="AJ33" s="54"/>
      <c r="AK33" s="54"/>
      <c r="AL33" s="54"/>
    </row>
    <row r="39" spans="1:38" ht="18.600000000000001" thickBot="1">
      <c r="A39" s="23"/>
      <c r="B39" s="23"/>
      <c r="C39" s="28">
        <f>AA29+'参照用（触らない）'!$A$1</f>
        <v>0.79166666666666641</v>
      </c>
      <c r="D39" s="28"/>
      <c r="E39" s="28"/>
      <c r="F39" s="28"/>
      <c r="G39" s="28"/>
      <c r="H39" s="29"/>
      <c r="I39" s="27">
        <f>C39+'参照用（触らない）'!$A$2</f>
        <v>0.81249999999999978</v>
      </c>
      <c r="J39" s="28"/>
      <c r="K39" s="28"/>
      <c r="L39" s="28"/>
      <c r="M39" s="28"/>
      <c r="N39" s="28"/>
      <c r="O39" s="28">
        <f>C39+'参照用（触らない）'!$A$1</f>
        <v>0.83333333333333304</v>
      </c>
      <c r="P39" s="28"/>
      <c r="Q39" s="28"/>
      <c r="R39" s="28"/>
      <c r="S39" s="28"/>
      <c r="T39" s="29"/>
      <c r="U39" s="27">
        <f>O39+'参照用（触らない）'!$A$2</f>
        <v>0.85416666666666641</v>
      </c>
      <c r="V39" s="28"/>
      <c r="W39" s="28"/>
      <c r="X39" s="28"/>
      <c r="Y39" s="28"/>
      <c r="Z39" s="28"/>
      <c r="AA39" s="28">
        <f>O39+'参照用（触らない）'!$A$1</f>
        <v>0.87499999999999967</v>
      </c>
      <c r="AB39" s="28"/>
      <c r="AC39" s="28"/>
      <c r="AD39" s="28"/>
      <c r="AE39" s="28"/>
      <c r="AF39" s="29"/>
      <c r="AG39" s="27">
        <f>AA39+'参照用（触らない）'!$A$2</f>
        <v>0.89583333333333304</v>
      </c>
      <c r="AH39" s="28"/>
      <c r="AI39" s="28"/>
      <c r="AJ39" s="28"/>
      <c r="AK39" s="28"/>
      <c r="AL39" s="28"/>
    </row>
    <row r="40" spans="1:38" ht="35.4" customHeight="1" thickTop="1">
      <c r="A40" s="19" t="s">
        <v>16</v>
      </c>
      <c r="B40" s="19"/>
      <c r="C40" s="88" t="s">
        <v>90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 t="s">
        <v>33</v>
      </c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98"/>
      <c r="AG40" s="63" t="s">
        <v>32</v>
      </c>
      <c r="AH40" s="64"/>
      <c r="AI40" s="64"/>
      <c r="AJ40" s="64"/>
      <c r="AK40" s="64"/>
      <c r="AL40" s="65"/>
    </row>
    <row r="41" spans="1:38" ht="35.4" customHeight="1">
      <c r="A41" s="18" t="s">
        <v>4</v>
      </c>
      <c r="B41" s="18"/>
      <c r="C41" s="97" t="s">
        <v>113</v>
      </c>
      <c r="D41" s="73"/>
      <c r="E41" s="73"/>
      <c r="F41" s="73"/>
      <c r="G41" s="73"/>
      <c r="H41" s="74"/>
      <c r="I41" s="72" t="s">
        <v>114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4"/>
      <c r="AG41" s="66"/>
      <c r="AH41" s="67"/>
      <c r="AI41" s="67"/>
      <c r="AJ41" s="67"/>
      <c r="AK41" s="67"/>
      <c r="AL41" s="68"/>
    </row>
    <row r="42" spans="1:38" ht="35.4" customHeight="1" thickBot="1">
      <c r="A42" s="24" t="s">
        <v>6</v>
      </c>
      <c r="B42" s="24"/>
      <c r="C42" s="94"/>
      <c r="D42" s="94"/>
      <c r="E42" s="94"/>
      <c r="F42" s="94"/>
      <c r="G42" s="94"/>
      <c r="H42" s="95"/>
      <c r="I42" s="96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5"/>
      <c r="U42" s="96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5"/>
      <c r="AG42" s="69"/>
      <c r="AH42" s="70"/>
      <c r="AI42" s="70"/>
      <c r="AJ42" s="70"/>
      <c r="AK42" s="70"/>
      <c r="AL42" s="71"/>
    </row>
    <row r="43" spans="1:38" ht="57" customHeight="1" thickTop="1">
      <c r="A43" s="19" t="s">
        <v>17</v>
      </c>
      <c r="B43" s="19"/>
      <c r="C43" s="54" t="s">
        <v>96</v>
      </c>
      <c r="D43" s="54"/>
      <c r="E43" s="54"/>
      <c r="F43" s="54"/>
      <c r="G43" s="54"/>
      <c r="H43" s="55"/>
      <c r="I43" s="92" t="s">
        <v>97</v>
      </c>
      <c r="J43" s="93"/>
      <c r="K43" s="93"/>
      <c r="L43" s="93"/>
      <c r="M43" s="93"/>
      <c r="N43" s="93"/>
      <c r="O43" s="54"/>
      <c r="P43" s="54"/>
      <c r="Q43" s="54"/>
      <c r="R43" s="54"/>
      <c r="S43" s="54"/>
      <c r="T43" s="55"/>
      <c r="U43" s="56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6" t="s">
        <v>98</v>
      </c>
      <c r="AH43" s="54"/>
      <c r="AI43" s="54"/>
      <c r="AJ43" s="54"/>
      <c r="AK43" s="54"/>
      <c r="AL43" s="54"/>
    </row>
    <row r="47" spans="1:38">
      <c r="A47" s="75" t="s">
        <v>1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7"/>
      <c r="O47" s="75" t="s">
        <v>28</v>
      </c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</row>
    <row r="48" spans="1:38">
      <c r="A48" s="14" t="str">
        <f>VLOOKUP('参照用（触らない）'!$B1,メンバー!$A$13:$I$17,2,FALSE)</f>
        <v>わざさん</v>
      </c>
      <c r="B48" s="14"/>
      <c r="C48" s="14"/>
      <c r="D48" s="14" t="str">
        <f>VLOOKUP('参照用（触らない）'!$B1,メンバー!$A$13:$I$17,4,FALSE)</f>
        <v>18～</v>
      </c>
      <c r="E48" s="14"/>
      <c r="F48" s="14"/>
      <c r="G48" s="15"/>
      <c r="H48" s="13"/>
      <c r="I48" s="14"/>
      <c r="J48" s="14"/>
      <c r="K48" s="14"/>
      <c r="L48" s="14"/>
      <c r="M48" s="14"/>
      <c r="N48" s="15"/>
      <c r="O48" s="13" t="str">
        <f>VLOOKUP('参照用（触らない）'!$B1,メンバー!$A$3:$I$11,3,FALSE)</f>
        <v>前原A僚太</v>
      </c>
      <c r="P48" s="14"/>
      <c r="Q48" s="14"/>
      <c r="R48" s="14" t="str">
        <f>VLOOKUP('参照用（触らない）'!$B1,メンバー!$A$3:$I$11,4,FALSE)</f>
        <v>16～</v>
      </c>
      <c r="S48" s="14"/>
      <c r="T48" s="14"/>
      <c r="U48" s="15"/>
      <c r="V48" s="13" t="str">
        <f>VLOOKUP('参照用（触らない）'!$B5,メンバー!$A$3:$I$11,3,FALSE)</f>
        <v>齋藤大輝</v>
      </c>
      <c r="W48" s="14"/>
      <c r="X48" s="14"/>
      <c r="Y48" s="15" t="str">
        <f>VLOOKUP('参照用（触らない）'!$B5,メンバー!$A$3:$I$11,4,FALSE)</f>
        <v>10～17:45</v>
      </c>
      <c r="Z48" s="16"/>
      <c r="AA48" s="16"/>
      <c r="AB48" s="17"/>
    </row>
    <row r="49" spans="1:28">
      <c r="A49" s="14" t="str">
        <f>VLOOKUP('参照用（触らない）'!$B2,メンバー!$A$13:$I$17,2,FALSE)</f>
        <v>春田ひなの</v>
      </c>
      <c r="B49" s="14"/>
      <c r="C49" s="14"/>
      <c r="D49" s="14" t="str">
        <f>VLOOKUP('参照用（触らない）'!$B2,メンバー!$A$13:$I$17,4,FALSE)</f>
        <v>×</v>
      </c>
      <c r="E49" s="14"/>
      <c r="F49" s="14"/>
      <c r="G49" s="15"/>
      <c r="H49" s="13"/>
      <c r="I49" s="14"/>
      <c r="J49" s="14"/>
      <c r="K49" s="14"/>
      <c r="L49" s="14"/>
      <c r="M49" s="14"/>
      <c r="N49" s="15"/>
      <c r="O49" s="13" t="str">
        <f>VLOOKUP('参照用（触らない）'!$B2,メンバー!$A$3:$I$11,3,FALSE)</f>
        <v>北風ゆうたろう</v>
      </c>
      <c r="P49" s="14"/>
      <c r="Q49" s="14"/>
      <c r="R49" s="14" t="str">
        <f>VLOOKUP('参照用（触らない）'!$B2,メンバー!$A$3:$I$11,4,FALSE)</f>
        <v>×</v>
      </c>
      <c r="S49" s="14"/>
      <c r="T49" s="14"/>
      <c r="U49" s="15"/>
      <c r="V49" s="13" t="str">
        <f>VLOOKUP('参照用（触らない）'!$B6,メンバー!$A$3:$I$11,3,FALSE)</f>
        <v>岡田萌</v>
      </c>
      <c r="W49" s="14"/>
      <c r="X49" s="14"/>
      <c r="Y49" s="15" t="str">
        <f>VLOOKUP('参照用（触らない）'!$B6,メンバー!$A$3:$I$11,4,FALSE)</f>
        <v>×</v>
      </c>
      <c r="Z49" s="16"/>
      <c r="AA49" s="16"/>
      <c r="AB49" s="17"/>
    </row>
    <row r="50" spans="1:28">
      <c r="A50" s="14" t="str">
        <f>VLOOKUP('参照用（触らない）'!$B3,メンバー!$A$13:$I$17,2,FALSE)</f>
        <v>すみほのか</v>
      </c>
      <c r="B50" s="14"/>
      <c r="C50" s="14"/>
      <c r="D50" s="14" t="str">
        <f>VLOOKUP('参照用（触らない）'!$B3,メンバー!$A$13:$I$17,4,FALSE)</f>
        <v>18:30～</v>
      </c>
      <c r="E50" s="14"/>
      <c r="F50" s="14"/>
      <c r="G50" s="15"/>
      <c r="H50" s="13"/>
      <c r="I50" s="14"/>
      <c r="J50" s="14"/>
      <c r="K50" s="14"/>
      <c r="L50" s="14"/>
      <c r="M50" s="14"/>
      <c r="N50" s="15"/>
      <c r="O50" s="13" t="str">
        <f>VLOOKUP('参照用（触らない）'!$B3,メンバー!$A$3:$I$11,3,FALSE)</f>
        <v>蒼樹とも</v>
      </c>
      <c r="P50" s="14"/>
      <c r="Q50" s="14"/>
      <c r="R50" s="14" t="str">
        <f>VLOOKUP('参照用（触らない）'!$B3,メンバー!$A$3:$I$11,4,FALSE)</f>
        <v>〇</v>
      </c>
      <c r="S50" s="14"/>
      <c r="T50" s="14"/>
      <c r="U50" s="15"/>
      <c r="V50" s="13" t="str">
        <f>VLOOKUP('参照用（触らない）'!$B7,メンバー!$A$3:$I$11,3,FALSE)</f>
        <v>葵</v>
      </c>
      <c r="W50" s="14"/>
      <c r="X50" s="14"/>
      <c r="Y50" s="15" t="str">
        <f>VLOOKUP('参照用（触らない）'!$B7,メンバー!$A$3:$I$11,4,FALSE)</f>
        <v>19:30～※</v>
      </c>
      <c r="Z50" s="16"/>
      <c r="AA50" s="16"/>
      <c r="AB50" s="17"/>
    </row>
    <row r="51" spans="1:28">
      <c r="A51" s="14" t="str">
        <f>VLOOKUP('参照用（触らない）'!$B4,メンバー!$A$13:$I$17,2,FALSE)</f>
        <v>古川詠介</v>
      </c>
      <c r="B51" s="14"/>
      <c r="C51" s="14"/>
      <c r="D51" s="14" t="str">
        <f>VLOOKUP('参照用（触らない）'!$B4,メンバー!$A$13:$I$17,4,FALSE)</f>
        <v>×</v>
      </c>
      <c r="E51" s="14"/>
      <c r="F51" s="14"/>
      <c r="G51" s="15"/>
      <c r="H51" s="13"/>
      <c r="I51" s="14"/>
      <c r="J51" s="14"/>
      <c r="K51" s="14"/>
      <c r="L51" s="14"/>
      <c r="M51" s="14"/>
      <c r="N51" s="15"/>
      <c r="O51" s="13" t="str">
        <f>VLOOKUP('参照用（触らない）'!$B4,メンバー!$A$3:$I$11,3,FALSE)</f>
        <v>N碕</v>
      </c>
      <c r="P51" s="14"/>
      <c r="Q51" s="14"/>
      <c r="R51" s="14" t="str">
        <f>VLOOKUP('参照用（触らない）'!$B4,メンバー!$A$3:$I$11,4,FALSE)</f>
        <v>19～※</v>
      </c>
      <c r="S51" s="14"/>
      <c r="T51" s="14"/>
      <c r="U51" s="15"/>
      <c r="V51" s="13"/>
      <c r="W51" s="14"/>
      <c r="X51" s="14"/>
      <c r="Y51" s="14"/>
      <c r="Z51" s="14"/>
      <c r="AA51" s="14"/>
      <c r="AB51" s="14"/>
    </row>
  </sheetData>
  <mergeCells count="165">
    <mergeCell ref="AG20:AL20"/>
    <mergeCell ref="C30:H30"/>
    <mergeCell ref="I30:AL30"/>
    <mergeCell ref="O40:AF40"/>
    <mergeCell ref="C40:N40"/>
    <mergeCell ref="AG22:AL22"/>
    <mergeCell ref="C32:H32"/>
    <mergeCell ref="AA32:AF32"/>
    <mergeCell ref="AG32:AL32"/>
    <mergeCell ref="AG33:AL33"/>
    <mergeCell ref="AG31:AL31"/>
    <mergeCell ref="AG29:AL29"/>
    <mergeCell ref="AG23:AL23"/>
    <mergeCell ref="AG21:AL21"/>
    <mergeCell ref="I21:N21"/>
    <mergeCell ref="AA21:AF21"/>
    <mergeCell ref="I22:AF22"/>
    <mergeCell ref="A47:N47"/>
    <mergeCell ref="O47:AB47"/>
    <mergeCell ref="W3:Z5"/>
    <mergeCell ref="AA5:AL5"/>
    <mergeCell ref="AG10:AL10"/>
    <mergeCell ref="A41:B41"/>
    <mergeCell ref="C20:H20"/>
    <mergeCell ref="U31:Z31"/>
    <mergeCell ref="O31:T31"/>
    <mergeCell ref="I31:N31"/>
    <mergeCell ref="C31:H31"/>
    <mergeCell ref="AG12:AL12"/>
    <mergeCell ref="C22:H22"/>
    <mergeCell ref="AG43:AL43"/>
    <mergeCell ref="A43:B43"/>
    <mergeCell ref="C43:H43"/>
    <mergeCell ref="I43:N43"/>
    <mergeCell ref="O43:T43"/>
    <mergeCell ref="U43:Z43"/>
    <mergeCell ref="C42:H42"/>
    <mergeCell ref="I42:N42"/>
    <mergeCell ref="O42:T42"/>
    <mergeCell ref="U42:Z42"/>
    <mergeCell ref="AA42:AF42"/>
    <mergeCell ref="AA43:AF43"/>
    <mergeCell ref="A42:B42"/>
    <mergeCell ref="AG40:AL42"/>
    <mergeCell ref="AG39:AL39"/>
    <mergeCell ref="A40:B40"/>
    <mergeCell ref="A39:B39"/>
    <mergeCell ref="C39:H39"/>
    <mergeCell ref="I39:N39"/>
    <mergeCell ref="O39:T39"/>
    <mergeCell ref="U39:Z39"/>
    <mergeCell ref="AA39:AF39"/>
    <mergeCell ref="I41:AF41"/>
    <mergeCell ref="C41:H41"/>
    <mergeCell ref="A33:B33"/>
    <mergeCell ref="C33:H33"/>
    <mergeCell ref="I33:N33"/>
    <mergeCell ref="O33:T33"/>
    <mergeCell ref="U33:Z33"/>
    <mergeCell ref="AA33:AF33"/>
    <mergeCell ref="A32:B32"/>
    <mergeCell ref="A31:B31"/>
    <mergeCell ref="AA31:AF31"/>
    <mergeCell ref="I32:Z32"/>
    <mergeCell ref="AA29:AF29"/>
    <mergeCell ref="A23:B23"/>
    <mergeCell ref="C23:H23"/>
    <mergeCell ref="I23:N23"/>
    <mergeCell ref="O23:T23"/>
    <mergeCell ref="U23:Z23"/>
    <mergeCell ref="AA23:AF23"/>
    <mergeCell ref="A22:B22"/>
    <mergeCell ref="A21:B21"/>
    <mergeCell ref="C21:H21"/>
    <mergeCell ref="A30:B30"/>
    <mergeCell ref="A20:B20"/>
    <mergeCell ref="A19:B19"/>
    <mergeCell ref="C19:H19"/>
    <mergeCell ref="I19:N19"/>
    <mergeCell ref="O19:T19"/>
    <mergeCell ref="O21:Z21"/>
    <mergeCell ref="A29:B29"/>
    <mergeCell ref="C29:H29"/>
    <mergeCell ref="I29:N29"/>
    <mergeCell ref="O29:T29"/>
    <mergeCell ref="U29:Z29"/>
    <mergeCell ref="I20:AF20"/>
    <mergeCell ref="U19:Z19"/>
    <mergeCell ref="AA19:AF19"/>
    <mergeCell ref="AG9:AL9"/>
    <mergeCell ref="AA9:AF9"/>
    <mergeCell ref="U9:Z9"/>
    <mergeCell ref="O9:T9"/>
    <mergeCell ref="AG19:AL19"/>
    <mergeCell ref="AA1:AL1"/>
    <mergeCell ref="AA2:AL2"/>
    <mergeCell ref="AA3:AL3"/>
    <mergeCell ref="AA4:AL4"/>
    <mergeCell ref="L1:U1"/>
    <mergeCell ref="L2:Q2"/>
    <mergeCell ref="L3:Q3"/>
    <mergeCell ref="I9:N9"/>
    <mergeCell ref="AA11:AF11"/>
    <mergeCell ref="AA13:AF13"/>
    <mergeCell ref="AG11:AL11"/>
    <mergeCell ref="AG13:AL13"/>
    <mergeCell ref="O13:T13"/>
    <mergeCell ref="U11:Z11"/>
    <mergeCell ref="U13:Z13"/>
    <mergeCell ref="I11:N11"/>
    <mergeCell ref="I10:AF10"/>
    <mergeCell ref="A1:B1"/>
    <mergeCell ref="A2:B2"/>
    <mergeCell ref="C1:J1"/>
    <mergeCell ref="C2:J2"/>
    <mergeCell ref="W1:Z1"/>
    <mergeCell ref="W2:Z2"/>
    <mergeCell ref="R2:U2"/>
    <mergeCell ref="A13:B13"/>
    <mergeCell ref="D8:F8"/>
    <mergeCell ref="I13:N13"/>
    <mergeCell ref="R3:U3"/>
    <mergeCell ref="A9:B9"/>
    <mergeCell ref="A10:B10"/>
    <mergeCell ref="A11:B11"/>
    <mergeCell ref="A12:B12"/>
    <mergeCell ref="I12:AF12"/>
    <mergeCell ref="C9:H9"/>
    <mergeCell ref="C10:H10"/>
    <mergeCell ref="C11:H11"/>
    <mergeCell ref="C12:H12"/>
    <mergeCell ref="C13:H13"/>
    <mergeCell ref="O11:T11"/>
    <mergeCell ref="H51:J51"/>
    <mergeCell ref="A51:C51"/>
    <mergeCell ref="K48:N48"/>
    <mergeCell ref="K49:N49"/>
    <mergeCell ref="K50:N50"/>
    <mergeCell ref="K51:N51"/>
    <mergeCell ref="A48:C48"/>
    <mergeCell ref="A49:C49"/>
    <mergeCell ref="A50:C50"/>
    <mergeCell ref="H48:J48"/>
    <mergeCell ref="H49:J49"/>
    <mergeCell ref="H50:J50"/>
    <mergeCell ref="D48:G48"/>
    <mergeCell ref="D49:G49"/>
    <mergeCell ref="D50:G50"/>
    <mergeCell ref="D51:G51"/>
    <mergeCell ref="V48:X48"/>
    <mergeCell ref="Y48:AB48"/>
    <mergeCell ref="V49:X49"/>
    <mergeCell ref="Y49:AB49"/>
    <mergeCell ref="V50:X50"/>
    <mergeCell ref="Y50:AB50"/>
    <mergeCell ref="V51:X51"/>
    <mergeCell ref="Y51:AB51"/>
    <mergeCell ref="O48:Q48"/>
    <mergeCell ref="O49:Q49"/>
    <mergeCell ref="O50:Q50"/>
    <mergeCell ref="O51:Q51"/>
    <mergeCell ref="R48:U48"/>
    <mergeCell ref="R49:U49"/>
    <mergeCell ref="R50:U50"/>
    <mergeCell ref="R51:U51"/>
  </mergeCells>
  <phoneticPr fontId="2"/>
  <pageMargins left="0.7" right="0.7" top="0.75" bottom="0.75" header="0.3" footer="0.3"/>
  <pageSetup paperSize="9" scale="5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DAA0-50EA-4577-AC9D-9BAD514DCA05}">
  <sheetPr>
    <pageSetUpPr fitToPage="1"/>
  </sheetPr>
  <dimension ref="A1:AL51"/>
  <sheetViews>
    <sheetView view="pageBreakPreview" zoomScaleNormal="100" zoomScaleSheetLayoutView="100" zoomScalePageLayoutView="75" workbookViewId="0">
      <selection sqref="A1:B1"/>
    </sheetView>
  </sheetViews>
  <sheetFormatPr defaultColWidth="3.69921875" defaultRowHeight="18"/>
  <cols>
    <col min="1" max="1" width="3.796875" style="1" customWidth="1"/>
    <col min="2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18" t="s">
        <v>18</v>
      </c>
      <c r="B1" s="18"/>
      <c r="C1" s="14" t="s">
        <v>61</v>
      </c>
      <c r="D1" s="14"/>
      <c r="E1" s="14"/>
      <c r="F1" s="14"/>
      <c r="G1" s="14"/>
      <c r="H1" s="14"/>
      <c r="I1" s="14"/>
      <c r="J1" s="14"/>
      <c r="L1" s="18" t="s">
        <v>23</v>
      </c>
      <c r="M1" s="18"/>
      <c r="N1" s="18"/>
      <c r="O1" s="18"/>
      <c r="P1" s="18"/>
      <c r="Q1" s="18"/>
      <c r="R1" s="18"/>
      <c r="S1" s="18"/>
      <c r="T1" s="18"/>
      <c r="U1" s="18"/>
      <c r="W1" s="18" t="s">
        <v>20</v>
      </c>
      <c r="X1" s="18"/>
      <c r="Y1" s="18"/>
      <c r="Z1" s="18"/>
      <c r="AA1" s="14" t="s">
        <v>63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>
      <c r="A2" s="18" t="s">
        <v>19</v>
      </c>
      <c r="B2" s="18"/>
      <c r="C2" s="14" t="s">
        <v>62</v>
      </c>
      <c r="D2" s="14"/>
      <c r="E2" s="14"/>
      <c r="F2" s="14"/>
      <c r="G2" s="14"/>
      <c r="H2" s="14"/>
      <c r="I2" s="14"/>
      <c r="J2" s="14"/>
      <c r="L2" s="14" t="s">
        <v>24</v>
      </c>
      <c r="M2" s="14"/>
      <c r="N2" s="14"/>
      <c r="O2" s="14"/>
      <c r="P2" s="14"/>
      <c r="Q2" s="14"/>
      <c r="R2" s="14" t="s">
        <v>25</v>
      </c>
      <c r="S2" s="14"/>
      <c r="T2" s="14"/>
      <c r="U2" s="14"/>
      <c r="W2" s="18" t="s">
        <v>21</v>
      </c>
      <c r="X2" s="18"/>
      <c r="Y2" s="18"/>
      <c r="Z2" s="18"/>
      <c r="AA2" s="14" t="s">
        <v>64</v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>
      <c r="L3" s="14"/>
      <c r="M3" s="14"/>
      <c r="N3" s="14"/>
      <c r="O3" s="14"/>
      <c r="P3" s="14"/>
      <c r="Q3" s="14"/>
      <c r="R3" s="14"/>
      <c r="S3" s="14"/>
      <c r="T3" s="14"/>
      <c r="U3" s="14"/>
      <c r="W3" s="78" t="s">
        <v>22</v>
      </c>
      <c r="X3" s="79"/>
      <c r="Y3" s="79"/>
      <c r="Z3" s="80"/>
      <c r="AA3" s="14" t="s">
        <v>67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>
      <c r="W4" s="81"/>
      <c r="X4" s="82"/>
      <c r="Y4" s="82"/>
      <c r="Z4" s="83"/>
      <c r="AA4" s="14" t="s">
        <v>66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>
      <c r="W5" s="84"/>
      <c r="X5" s="85"/>
      <c r="Y5" s="85"/>
      <c r="Z5" s="86"/>
      <c r="AA5" s="14" t="s">
        <v>65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8" spans="1:38">
      <c r="A8" s="1" t="s">
        <v>91</v>
      </c>
      <c r="D8" s="20">
        <v>0.41666666666666669</v>
      </c>
      <c r="E8" s="20"/>
      <c r="F8" s="20"/>
    </row>
    <row r="9" spans="1:38" s="2" customFormat="1" ht="18.600000000000001" thickBot="1">
      <c r="A9" s="23"/>
      <c r="B9" s="23"/>
      <c r="C9" s="28">
        <f>D8</f>
        <v>0.41666666666666669</v>
      </c>
      <c r="D9" s="28"/>
      <c r="E9" s="28"/>
      <c r="F9" s="28"/>
      <c r="G9" s="28"/>
      <c r="H9" s="29"/>
      <c r="I9" s="27">
        <f>C9+'参照用（触らない）'!$A$2</f>
        <v>0.4375</v>
      </c>
      <c r="J9" s="28"/>
      <c r="K9" s="28"/>
      <c r="L9" s="28"/>
      <c r="M9" s="28"/>
      <c r="N9" s="28"/>
      <c r="O9" s="28">
        <f>C9+'参照用（触らない）'!$A$1</f>
        <v>0.45833333333333337</v>
      </c>
      <c r="P9" s="28"/>
      <c r="Q9" s="28"/>
      <c r="R9" s="28"/>
      <c r="S9" s="28"/>
      <c r="T9" s="29"/>
      <c r="U9" s="27">
        <f>O9+'参照用（触らない）'!$A$2</f>
        <v>0.47916666666666669</v>
      </c>
      <c r="V9" s="28"/>
      <c r="W9" s="28"/>
      <c r="X9" s="28"/>
      <c r="Y9" s="28"/>
      <c r="Z9" s="28"/>
      <c r="AA9" s="28">
        <f>O9+'参照用（触らない）'!$A$1</f>
        <v>0.5</v>
      </c>
      <c r="AB9" s="28"/>
      <c r="AC9" s="28"/>
      <c r="AD9" s="28"/>
      <c r="AE9" s="28"/>
      <c r="AF9" s="29"/>
      <c r="AG9" s="27">
        <f>AA9+'参照用（触らない）'!$A$2</f>
        <v>0.52083333333333337</v>
      </c>
      <c r="AH9" s="28"/>
      <c r="AI9" s="28"/>
      <c r="AJ9" s="28"/>
      <c r="AK9" s="28"/>
      <c r="AL9" s="28"/>
    </row>
    <row r="10" spans="1:38" ht="35.4" customHeight="1" thickTop="1">
      <c r="A10" s="19" t="s">
        <v>16</v>
      </c>
      <c r="B10" s="19"/>
      <c r="C10" s="53"/>
      <c r="D10" s="53"/>
      <c r="E10" s="53"/>
      <c r="F10" s="53"/>
      <c r="G10" s="53"/>
      <c r="H10" s="48"/>
      <c r="I10" s="99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48"/>
      <c r="U10" s="99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48"/>
      <c r="AG10" s="99"/>
      <c r="AH10" s="53"/>
      <c r="AI10" s="53"/>
      <c r="AJ10" s="53"/>
      <c r="AK10" s="53"/>
      <c r="AL10" s="53"/>
    </row>
    <row r="11" spans="1:38" ht="35.4" customHeight="1">
      <c r="A11" s="18" t="s">
        <v>4</v>
      </c>
      <c r="B11" s="18"/>
      <c r="C11" s="53"/>
      <c r="D11" s="53"/>
      <c r="E11" s="53"/>
      <c r="F11" s="53"/>
      <c r="G11" s="53"/>
      <c r="H11" s="48"/>
      <c r="I11" s="99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48"/>
      <c r="U11" s="99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48"/>
      <c r="AG11" s="99"/>
      <c r="AH11" s="53"/>
      <c r="AI11" s="53"/>
      <c r="AJ11" s="53"/>
      <c r="AK11" s="53"/>
      <c r="AL11" s="53"/>
    </row>
    <row r="12" spans="1:38" ht="35.4" customHeight="1" thickBot="1">
      <c r="A12" s="24" t="s">
        <v>6</v>
      </c>
      <c r="B12" s="24"/>
      <c r="C12" s="100"/>
      <c r="D12" s="100"/>
      <c r="E12" s="100"/>
      <c r="F12" s="100"/>
      <c r="G12" s="100"/>
      <c r="H12" s="60"/>
      <c r="I12" s="101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60"/>
      <c r="U12" s="101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60"/>
      <c r="AG12" s="101"/>
      <c r="AH12" s="100"/>
      <c r="AI12" s="100"/>
      <c r="AJ12" s="100"/>
      <c r="AK12" s="100"/>
      <c r="AL12" s="100"/>
    </row>
    <row r="13" spans="1:38" ht="57" customHeight="1" thickTop="1">
      <c r="A13" s="19" t="s">
        <v>17</v>
      </c>
      <c r="B13" s="19"/>
      <c r="C13" s="44" t="s">
        <v>99</v>
      </c>
      <c r="D13" s="44"/>
      <c r="E13" s="44"/>
      <c r="F13" s="44"/>
      <c r="G13" s="44"/>
      <c r="H13" s="45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2"/>
      <c r="U13" s="36"/>
      <c r="V13" s="37"/>
      <c r="W13" s="37"/>
      <c r="X13" s="37"/>
      <c r="Y13" s="37"/>
      <c r="Z13" s="38"/>
      <c r="AA13" s="44" t="s">
        <v>100</v>
      </c>
      <c r="AB13" s="44"/>
      <c r="AC13" s="44"/>
      <c r="AD13" s="44"/>
      <c r="AE13" s="44"/>
      <c r="AF13" s="45"/>
      <c r="AG13" s="21"/>
      <c r="AH13" s="22"/>
      <c r="AI13" s="22"/>
      <c r="AJ13" s="22"/>
      <c r="AK13" s="22"/>
      <c r="AL13" s="22"/>
    </row>
    <row r="19" spans="1:38" ht="18.600000000000001" thickBot="1">
      <c r="A19" s="23"/>
      <c r="B19" s="23"/>
      <c r="C19" s="28">
        <f>AA9+'参照用（触らない）'!$A$1</f>
        <v>0.54166666666666663</v>
      </c>
      <c r="D19" s="28"/>
      <c r="E19" s="28"/>
      <c r="F19" s="28"/>
      <c r="G19" s="28"/>
      <c r="H19" s="29"/>
      <c r="I19" s="27">
        <f>C19+'参照用（触らない）'!$A$2</f>
        <v>0.5625</v>
      </c>
      <c r="J19" s="28"/>
      <c r="K19" s="28"/>
      <c r="L19" s="28"/>
      <c r="M19" s="28"/>
      <c r="N19" s="28"/>
      <c r="O19" s="28">
        <f>C19+'参照用（触らない）'!$A$1</f>
        <v>0.58333333333333326</v>
      </c>
      <c r="P19" s="28"/>
      <c r="Q19" s="28"/>
      <c r="R19" s="28"/>
      <c r="S19" s="28"/>
      <c r="T19" s="29"/>
      <c r="U19" s="27">
        <f>O19+'参照用（触らない）'!$A$2</f>
        <v>0.60416666666666663</v>
      </c>
      <c r="V19" s="28"/>
      <c r="W19" s="28"/>
      <c r="X19" s="28"/>
      <c r="Y19" s="28"/>
      <c r="Z19" s="28"/>
      <c r="AA19" s="28">
        <f>O19+'参照用（触らない）'!$A$1</f>
        <v>0.62499999999999989</v>
      </c>
      <c r="AB19" s="28"/>
      <c r="AC19" s="28"/>
      <c r="AD19" s="28"/>
      <c r="AE19" s="28"/>
      <c r="AF19" s="29"/>
      <c r="AG19" s="27">
        <f>AA19+'参照用（触らない）'!$A$2</f>
        <v>0.64583333333333326</v>
      </c>
      <c r="AH19" s="28"/>
      <c r="AI19" s="28"/>
      <c r="AJ19" s="28"/>
      <c r="AK19" s="28"/>
      <c r="AL19" s="28"/>
    </row>
    <row r="20" spans="1:38" ht="35.4" customHeight="1" thickTop="1">
      <c r="A20" s="19" t="s">
        <v>16</v>
      </c>
      <c r="B20" s="19"/>
      <c r="C20" s="53"/>
      <c r="D20" s="53"/>
      <c r="E20" s="53"/>
      <c r="F20" s="53"/>
      <c r="G20" s="53"/>
      <c r="H20" s="48"/>
      <c r="I20" s="99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48"/>
      <c r="U20" s="99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48"/>
      <c r="AG20" s="99"/>
      <c r="AH20" s="53"/>
      <c r="AI20" s="53"/>
      <c r="AJ20" s="53"/>
      <c r="AK20" s="53"/>
      <c r="AL20" s="53"/>
    </row>
    <row r="21" spans="1:38" ht="35.4" customHeight="1">
      <c r="A21" s="18" t="s">
        <v>4</v>
      </c>
      <c r="B21" s="18"/>
      <c r="C21" s="53"/>
      <c r="D21" s="53"/>
      <c r="E21" s="53"/>
      <c r="F21" s="53"/>
      <c r="G21" s="53"/>
      <c r="H21" s="48"/>
      <c r="I21" s="99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48"/>
      <c r="U21" s="99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48"/>
      <c r="AG21" s="99"/>
      <c r="AH21" s="53"/>
      <c r="AI21" s="53"/>
      <c r="AJ21" s="53"/>
      <c r="AK21" s="53"/>
      <c r="AL21" s="53"/>
    </row>
    <row r="22" spans="1:38" ht="35.4" customHeight="1" thickBot="1">
      <c r="A22" s="24" t="s">
        <v>6</v>
      </c>
      <c r="B22" s="24"/>
      <c r="C22" s="100"/>
      <c r="D22" s="100"/>
      <c r="E22" s="100"/>
      <c r="F22" s="100"/>
      <c r="G22" s="100"/>
      <c r="H22" s="60"/>
      <c r="I22" s="101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60"/>
      <c r="U22" s="101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60"/>
      <c r="AG22" s="101"/>
      <c r="AH22" s="100"/>
      <c r="AI22" s="100"/>
      <c r="AJ22" s="100"/>
      <c r="AK22" s="100"/>
      <c r="AL22" s="100"/>
    </row>
    <row r="23" spans="1:38" ht="57" customHeight="1" thickTop="1">
      <c r="A23" s="19" t="s">
        <v>17</v>
      </c>
      <c r="B23" s="19"/>
      <c r="C23" s="44"/>
      <c r="D23" s="44"/>
      <c r="E23" s="44"/>
      <c r="F23" s="44"/>
      <c r="G23" s="44"/>
      <c r="H23" s="45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32"/>
      <c r="U23" s="51"/>
      <c r="V23" s="52"/>
      <c r="W23" s="52"/>
      <c r="X23" s="52"/>
      <c r="Y23" s="52"/>
      <c r="Z23" s="52"/>
      <c r="AA23" s="22"/>
      <c r="AB23" s="22"/>
      <c r="AC23" s="22"/>
      <c r="AD23" s="22"/>
      <c r="AE23" s="22"/>
      <c r="AF23" s="32"/>
      <c r="AG23" s="21"/>
      <c r="AH23" s="22"/>
      <c r="AI23" s="22"/>
      <c r="AJ23" s="22"/>
      <c r="AK23" s="22"/>
      <c r="AL23" s="22"/>
    </row>
    <row r="29" spans="1:38" ht="18.600000000000001" thickBot="1">
      <c r="A29" s="23"/>
      <c r="B29" s="23"/>
      <c r="C29" s="28">
        <f>AA19+'参照用（触らない）'!$A$1</f>
        <v>0.66666666666666652</v>
      </c>
      <c r="D29" s="28"/>
      <c r="E29" s="28"/>
      <c r="F29" s="28"/>
      <c r="G29" s="28"/>
      <c r="H29" s="29"/>
      <c r="I29" s="27">
        <f>C29+'参照用（触らない）'!$A$2</f>
        <v>0.68749999999999989</v>
      </c>
      <c r="J29" s="28"/>
      <c r="K29" s="28"/>
      <c r="L29" s="28"/>
      <c r="M29" s="28"/>
      <c r="N29" s="28"/>
      <c r="O29" s="28">
        <f>C29+'参照用（触らない）'!$A$1</f>
        <v>0.70833333333333315</v>
      </c>
      <c r="P29" s="28"/>
      <c r="Q29" s="28"/>
      <c r="R29" s="28"/>
      <c r="S29" s="28"/>
      <c r="T29" s="29"/>
      <c r="U29" s="27">
        <f>O29+'参照用（触らない）'!$A$2</f>
        <v>0.72916666666666652</v>
      </c>
      <c r="V29" s="28"/>
      <c r="W29" s="28"/>
      <c r="X29" s="28"/>
      <c r="Y29" s="28"/>
      <c r="Z29" s="28"/>
      <c r="AA29" s="28">
        <f>O29+'参照用（触らない）'!$A$1</f>
        <v>0.74999999999999978</v>
      </c>
      <c r="AB29" s="28"/>
      <c r="AC29" s="28"/>
      <c r="AD29" s="28"/>
      <c r="AE29" s="28"/>
      <c r="AF29" s="29"/>
      <c r="AG29" s="27">
        <f>AA29+'参照用（触らない）'!$A$2</f>
        <v>0.77083333333333315</v>
      </c>
      <c r="AH29" s="28"/>
      <c r="AI29" s="28"/>
      <c r="AJ29" s="28"/>
      <c r="AK29" s="28"/>
      <c r="AL29" s="28"/>
    </row>
    <row r="30" spans="1:38" ht="35.4" customHeight="1" thickTop="1">
      <c r="A30" s="19" t="s">
        <v>16</v>
      </c>
      <c r="B30" s="19"/>
      <c r="C30" s="53"/>
      <c r="D30" s="53"/>
      <c r="E30" s="53"/>
      <c r="F30" s="53"/>
      <c r="G30" s="53"/>
      <c r="H30" s="48"/>
      <c r="I30" s="99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48"/>
      <c r="U30" s="99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48"/>
      <c r="AG30" s="99"/>
      <c r="AH30" s="53"/>
      <c r="AI30" s="53"/>
      <c r="AJ30" s="53"/>
      <c r="AK30" s="53"/>
      <c r="AL30" s="53"/>
    </row>
    <row r="31" spans="1:38" ht="35.4" customHeight="1">
      <c r="A31" s="18" t="s">
        <v>4</v>
      </c>
      <c r="B31" s="18"/>
      <c r="C31" s="53"/>
      <c r="D31" s="53"/>
      <c r="E31" s="53"/>
      <c r="F31" s="53"/>
      <c r="G31" s="53"/>
      <c r="H31" s="48"/>
      <c r="I31" s="99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48"/>
      <c r="U31" s="99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48"/>
      <c r="AG31" s="99"/>
      <c r="AH31" s="53"/>
      <c r="AI31" s="53"/>
      <c r="AJ31" s="53"/>
      <c r="AK31" s="53"/>
      <c r="AL31" s="53"/>
    </row>
    <row r="32" spans="1:38" ht="35.4" customHeight="1" thickBot="1">
      <c r="A32" s="24" t="s">
        <v>6</v>
      </c>
      <c r="B32" s="24"/>
      <c r="C32" s="100"/>
      <c r="D32" s="100"/>
      <c r="E32" s="100"/>
      <c r="F32" s="100"/>
      <c r="G32" s="100"/>
      <c r="H32" s="60"/>
      <c r="I32" s="101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60"/>
      <c r="U32" s="101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60"/>
      <c r="AG32" s="101"/>
      <c r="AH32" s="100"/>
      <c r="AI32" s="100"/>
      <c r="AJ32" s="100"/>
      <c r="AK32" s="100"/>
      <c r="AL32" s="100"/>
    </row>
    <row r="33" spans="1:38" ht="57" customHeight="1" thickTop="1">
      <c r="A33" s="19" t="s">
        <v>17</v>
      </c>
      <c r="B33" s="19"/>
      <c r="C33" s="54" t="s">
        <v>101</v>
      </c>
      <c r="D33" s="54"/>
      <c r="E33" s="54"/>
      <c r="F33" s="54"/>
      <c r="G33" s="54"/>
      <c r="H33" s="55"/>
      <c r="I33" s="21"/>
      <c r="J33" s="22"/>
      <c r="K33" s="22"/>
      <c r="L33" s="22"/>
      <c r="M33" s="22"/>
      <c r="N33" s="22"/>
      <c r="O33" s="54"/>
      <c r="P33" s="54"/>
      <c r="Q33" s="54"/>
      <c r="R33" s="54"/>
      <c r="S33" s="54"/>
      <c r="T33" s="55"/>
      <c r="U33" s="56"/>
      <c r="V33" s="54"/>
      <c r="W33" s="54"/>
      <c r="X33" s="54"/>
      <c r="Y33" s="54"/>
      <c r="Z33" s="54"/>
      <c r="AA33" s="54" t="s">
        <v>102</v>
      </c>
      <c r="AB33" s="54"/>
      <c r="AC33" s="54"/>
      <c r="AD33" s="54"/>
      <c r="AE33" s="54"/>
      <c r="AF33" s="57"/>
      <c r="AG33" s="56" t="s">
        <v>103</v>
      </c>
      <c r="AH33" s="54"/>
      <c r="AI33" s="54"/>
      <c r="AJ33" s="54"/>
      <c r="AK33" s="54"/>
      <c r="AL33" s="54"/>
    </row>
    <row r="39" spans="1:38" ht="18.600000000000001" thickBot="1">
      <c r="A39" s="23"/>
      <c r="B39" s="23"/>
      <c r="C39" s="28">
        <f>AA29+'参照用（触らない）'!$A$1</f>
        <v>0.79166666666666641</v>
      </c>
      <c r="D39" s="28"/>
      <c r="E39" s="28"/>
      <c r="F39" s="28"/>
      <c r="G39" s="28"/>
      <c r="H39" s="29"/>
      <c r="I39" s="27">
        <f>C39+'参照用（触らない）'!$A$2</f>
        <v>0.81249999999999978</v>
      </c>
      <c r="J39" s="28"/>
      <c r="K39" s="28"/>
      <c r="L39" s="28"/>
      <c r="M39" s="28"/>
      <c r="N39" s="28"/>
      <c r="O39" s="28">
        <f>C39+'参照用（触らない）'!$A$1</f>
        <v>0.83333333333333304</v>
      </c>
      <c r="P39" s="28"/>
      <c r="Q39" s="28"/>
      <c r="R39" s="28"/>
      <c r="S39" s="28"/>
      <c r="T39" s="29"/>
      <c r="U39" s="27">
        <f>O39+'参照用（触らない）'!$A$2</f>
        <v>0.85416666666666641</v>
      </c>
      <c r="V39" s="28"/>
      <c r="W39" s="28"/>
      <c r="X39" s="28"/>
      <c r="Y39" s="28"/>
      <c r="Z39" s="28"/>
      <c r="AA39" s="28">
        <f>O39+'参照用（触らない）'!$A$1</f>
        <v>0.87499999999999967</v>
      </c>
      <c r="AB39" s="28"/>
      <c r="AC39" s="28"/>
      <c r="AD39" s="28"/>
      <c r="AE39" s="28"/>
      <c r="AF39" s="29"/>
      <c r="AG39" s="27">
        <f>AA39+'参照用（触らない）'!$A$2</f>
        <v>0.89583333333333304</v>
      </c>
      <c r="AH39" s="28"/>
      <c r="AI39" s="28"/>
      <c r="AJ39" s="28"/>
      <c r="AK39" s="28"/>
      <c r="AL39" s="28"/>
    </row>
    <row r="40" spans="1:38" ht="35.4" customHeight="1" thickTop="1">
      <c r="A40" s="19" t="s">
        <v>16</v>
      </c>
      <c r="B40" s="19"/>
      <c r="C40" s="104"/>
      <c r="D40" s="104"/>
      <c r="E40" s="104"/>
      <c r="F40" s="104"/>
      <c r="G40" s="104"/>
      <c r="H40" s="105"/>
      <c r="I40" s="106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5"/>
      <c r="U40" s="106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5"/>
      <c r="AG40" s="63" t="s">
        <v>32</v>
      </c>
      <c r="AH40" s="64"/>
      <c r="AI40" s="64"/>
      <c r="AJ40" s="64"/>
      <c r="AK40" s="64"/>
      <c r="AL40" s="65"/>
    </row>
    <row r="41" spans="1:38" ht="35.4" customHeight="1">
      <c r="A41" s="18" t="s">
        <v>4</v>
      </c>
      <c r="B41" s="18"/>
      <c r="C41" s="97" t="s">
        <v>114</v>
      </c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103"/>
      <c r="O41" s="97" t="s">
        <v>115</v>
      </c>
      <c r="P41" s="73"/>
      <c r="Q41" s="73"/>
      <c r="R41" s="73"/>
      <c r="S41" s="73"/>
      <c r="T41" s="74"/>
      <c r="U41" s="72" t="s">
        <v>116</v>
      </c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4"/>
      <c r="AG41" s="66"/>
      <c r="AH41" s="67"/>
      <c r="AI41" s="67"/>
      <c r="AJ41" s="67"/>
      <c r="AK41" s="67"/>
      <c r="AL41" s="68"/>
    </row>
    <row r="42" spans="1:38" ht="35.4" customHeight="1" thickBot="1">
      <c r="A42" s="24" t="s">
        <v>6</v>
      </c>
      <c r="B42" s="24"/>
      <c r="C42" s="60" t="s">
        <v>142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2"/>
      <c r="O42" s="100" t="s">
        <v>141</v>
      </c>
      <c r="P42" s="100"/>
      <c r="Q42" s="100"/>
      <c r="R42" s="100"/>
      <c r="S42" s="100"/>
      <c r="T42" s="60"/>
      <c r="U42" s="117" t="s">
        <v>142</v>
      </c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119"/>
      <c r="AG42" s="69"/>
      <c r="AH42" s="70"/>
      <c r="AI42" s="70"/>
      <c r="AJ42" s="70"/>
      <c r="AK42" s="70"/>
      <c r="AL42" s="71"/>
    </row>
    <row r="43" spans="1:38" ht="57" customHeight="1" thickTop="1">
      <c r="A43" s="19" t="s">
        <v>17</v>
      </c>
      <c r="B43" s="19"/>
      <c r="C43" s="54" t="s">
        <v>104</v>
      </c>
      <c r="D43" s="54"/>
      <c r="E43" s="54"/>
      <c r="F43" s="54"/>
      <c r="G43" s="54"/>
      <c r="H43" s="55"/>
      <c r="I43" s="102" t="s">
        <v>112</v>
      </c>
      <c r="J43" s="44"/>
      <c r="K43" s="44"/>
      <c r="L43" s="44"/>
      <c r="M43" s="44"/>
      <c r="N43" s="44"/>
      <c r="O43" s="54"/>
      <c r="P43" s="54"/>
      <c r="Q43" s="54"/>
      <c r="R43" s="54"/>
      <c r="S43" s="54"/>
      <c r="T43" s="55"/>
      <c r="U43" s="56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6" t="s">
        <v>105</v>
      </c>
      <c r="AH43" s="54"/>
      <c r="AI43" s="54"/>
      <c r="AJ43" s="54"/>
      <c r="AK43" s="54"/>
      <c r="AL43" s="54"/>
    </row>
    <row r="47" spans="1:38">
      <c r="A47" s="75" t="s">
        <v>1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7"/>
      <c r="O47" s="75" t="s">
        <v>28</v>
      </c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</row>
    <row r="48" spans="1:38">
      <c r="A48" s="14" t="str">
        <f>VLOOKUP('参照用（触らない）'!$B1,メンバー!$A$13:$I$17,2,FALSE)</f>
        <v>わざさん</v>
      </c>
      <c r="B48" s="14"/>
      <c r="C48" s="14"/>
      <c r="D48" s="14" t="str">
        <f>VLOOKUP('参照用（触らない）'!$B1,メンバー!$A$13:$I$17,5,FALSE)</f>
        <v>18～</v>
      </c>
      <c r="E48" s="14"/>
      <c r="F48" s="14"/>
      <c r="G48" s="15"/>
      <c r="H48" s="13"/>
      <c r="I48" s="14"/>
      <c r="J48" s="14"/>
      <c r="K48" s="14"/>
      <c r="L48" s="14"/>
      <c r="M48" s="14"/>
      <c r="N48" s="15"/>
      <c r="O48" s="13" t="str">
        <f>VLOOKUP('参照用（触らない）'!$B1,メンバー!$A$3:$I$11,3,FALSE)</f>
        <v>前原A僚太</v>
      </c>
      <c r="P48" s="14"/>
      <c r="Q48" s="14"/>
      <c r="R48" s="14" t="str">
        <f>VLOOKUP('参照用（触らない）'!$B1,メンバー!$A$3:$I$11,5,FALSE)</f>
        <v>16～</v>
      </c>
      <c r="S48" s="14"/>
      <c r="T48" s="14"/>
      <c r="U48" s="15"/>
      <c r="V48" s="13" t="str">
        <f>VLOOKUP('参照用（触らない）'!$B5,メンバー!$A$3:$I$11,3,FALSE)</f>
        <v>齋藤大輝</v>
      </c>
      <c r="W48" s="14"/>
      <c r="X48" s="14"/>
      <c r="Y48" s="15" t="str">
        <f>VLOOKUP('参照用（触らない）'!$B5,メンバー!$A$3:$I$11,5,FALSE)</f>
        <v>〇</v>
      </c>
      <c r="Z48" s="16"/>
      <c r="AA48" s="16"/>
      <c r="AB48" s="17"/>
    </row>
    <row r="49" spans="1:28">
      <c r="A49" s="14" t="str">
        <f>VLOOKUP('参照用（触らない）'!$B2,メンバー!$A$13:$I$17,2,FALSE)</f>
        <v>春田ひなの</v>
      </c>
      <c r="B49" s="14"/>
      <c r="C49" s="14"/>
      <c r="D49" s="14" t="str">
        <f>VLOOKUP('参照用（触らない）'!$B2,メンバー!$A$13:$I$17,5,FALSE)</f>
        <v>×</v>
      </c>
      <c r="E49" s="14"/>
      <c r="F49" s="14"/>
      <c r="G49" s="15"/>
      <c r="H49" s="13"/>
      <c r="I49" s="14"/>
      <c r="J49" s="14"/>
      <c r="K49" s="14"/>
      <c r="L49" s="14"/>
      <c r="M49" s="14"/>
      <c r="N49" s="15"/>
      <c r="O49" s="13" t="str">
        <f>VLOOKUP('参照用（触らない）'!$B2,メンバー!$A$3:$I$11,3,FALSE)</f>
        <v>北風ゆうたろう</v>
      </c>
      <c r="P49" s="14"/>
      <c r="Q49" s="14"/>
      <c r="R49" s="14" t="str">
        <f>VLOOKUP('参照用（触らない）'!$B2,メンバー!$A$3:$I$11,5,FALSE)</f>
        <v>×</v>
      </c>
      <c r="S49" s="14"/>
      <c r="T49" s="14"/>
      <c r="U49" s="15"/>
      <c r="V49" s="13" t="str">
        <f>VLOOKUP('参照用（触らない）'!$B6,メンバー!$A$3:$I$11,3,FALSE)</f>
        <v>岡田萌</v>
      </c>
      <c r="W49" s="14"/>
      <c r="X49" s="14"/>
      <c r="Y49" s="15" t="str">
        <f>VLOOKUP('参照用（触らない）'!$B6,メンバー!$A$3:$I$11,5,FALSE)</f>
        <v>12～</v>
      </c>
      <c r="Z49" s="16"/>
      <c r="AA49" s="16"/>
      <c r="AB49" s="17"/>
    </row>
    <row r="50" spans="1:28">
      <c r="A50" s="14" t="str">
        <f>VLOOKUP('参照用（触らない）'!$B3,メンバー!$A$13:$I$17,2,FALSE)</f>
        <v>すみほのか</v>
      </c>
      <c r="B50" s="14"/>
      <c r="C50" s="14"/>
      <c r="D50" s="14" t="str">
        <f>VLOOKUP('参照用（触らない）'!$B3,メンバー!$A$13:$I$17,5,FALSE)</f>
        <v>18:30～</v>
      </c>
      <c r="E50" s="14"/>
      <c r="F50" s="14"/>
      <c r="G50" s="15"/>
      <c r="H50" s="13"/>
      <c r="I50" s="14"/>
      <c r="J50" s="14"/>
      <c r="K50" s="14"/>
      <c r="L50" s="14"/>
      <c r="M50" s="14"/>
      <c r="N50" s="15"/>
      <c r="O50" s="13" t="str">
        <f>VLOOKUP('参照用（触らない）'!$B3,メンバー!$A$3:$I$11,3,FALSE)</f>
        <v>蒼樹とも</v>
      </c>
      <c r="P50" s="14"/>
      <c r="Q50" s="14"/>
      <c r="R50" s="14" t="str">
        <f>VLOOKUP('参照用（触らない）'!$B3,メンバー!$A$3:$I$11,5,FALSE)</f>
        <v>19:30～</v>
      </c>
      <c r="S50" s="14"/>
      <c r="T50" s="14"/>
      <c r="U50" s="15"/>
      <c r="V50" s="13" t="str">
        <f>VLOOKUP('参照用（触らない）'!$B7,メンバー!$A$3:$I$11,3,FALSE)</f>
        <v>葵</v>
      </c>
      <c r="W50" s="14"/>
      <c r="X50" s="14"/>
      <c r="Y50" s="15" t="str">
        <f>VLOOKUP('参照用（触らない）'!$B7,メンバー!$A$3:$I$11,5,FALSE)</f>
        <v>19:30～※</v>
      </c>
      <c r="Z50" s="16"/>
      <c r="AA50" s="16"/>
      <c r="AB50" s="17"/>
    </row>
    <row r="51" spans="1:28">
      <c r="A51" s="14" t="str">
        <f>VLOOKUP('参照用（触らない）'!$B4,メンバー!$A$13:$I$17,2,FALSE)</f>
        <v>古川詠介</v>
      </c>
      <c r="B51" s="14"/>
      <c r="C51" s="14"/>
      <c r="D51" s="14" t="str">
        <f>VLOOKUP('参照用（触らない）'!$B4,メンバー!$A$13:$I$17,5,FALSE)</f>
        <v>×</v>
      </c>
      <c r="E51" s="14"/>
      <c r="F51" s="14"/>
      <c r="G51" s="15"/>
      <c r="H51" s="13"/>
      <c r="I51" s="14"/>
      <c r="J51" s="14"/>
      <c r="K51" s="14"/>
      <c r="L51" s="14"/>
      <c r="M51" s="14"/>
      <c r="N51" s="15"/>
      <c r="O51" s="13" t="str">
        <f>VLOOKUP('参照用（触らない）'!$B4,メンバー!$A$3:$I$11,3,FALSE)</f>
        <v>N碕</v>
      </c>
      <c r="P51" s="14"/>
      <c r="Q51" s="14"/>
      <c r="R51" s="14" t="str">
        <f>VLOOKUP('参照用（触らない）'!$B4,メンバー!$A$3:$I$11,5,FALSE)</f>
        <v>19～※</v>
      </c>
      <c r="S51" s="14"/>
      <c r="T51" s="14"/>
      <c r="U51" s="15"/>
      <c r="V51" s="13"/>
      <c r="W51" s="14"/>
      <c r="X51" s="14"/>
      <c r="Y51" s="14"/>
      <c r="Z51" s="14"/>
      <c r="AA51" s="14"/>
      <c r="AB51" s="14"/>
    </row>
  </sheetData>
  <mergeCells count="186">
    <mergeCell ref="U42:AF42"/>
    <mergeCell ref="O22:T22"/>
    <mergeCell ref="U22:Z22"/>
    <mergeCell ref="AA22:AF22"/>
    <mergeCell ref="AG22:AL22"/>
    <mergeCell ref="C31:H31"/>
    <mergeCell ref="I31:N31"/>
    <mergeCell ref="O31:T31"/>
    <mergeCell ref="U31:Z31"/>
    <mergeCell ref="A41:B41"/>
    <mergeCell ref="C40:H40"/>
    <mergeCell ref="I40:N40"/>
    <mergeCell ref="O40:T40"/>
    <mergeCell ref="U40:Z40"/>
    <mergeCell ref="C32:H32"/>
    <mergeCell ref="I32:N32"/>
    <mergeCell ref="O32:T32"/>
    <mergeCell ref="U32:Z32"/>
    <mergeCell ref="A32:B32"/>
    <mergeCell ref="A33:B33"/>
    <mergeCell ref="C33:H33"/>
    <mergeCell ref="I33:N33"/>
    <mergeCell ref="O33:T33"/>
    <mergeCell ref="U33:Z33"/>
    <mergeCell ref="AA40:AF40"/>
    <mergeCell ref="V50:X50"/>
    <mergeCell ref="Y50:AB50"/>
    <mergeCell ref="A51:C51"/>
    <mergeCell ref="D51:G51"/>
    <mergeCell ref="H51:J51"/>
    <mergeCell ref="K51:N51"/>
    <mergeCell ref="O51:Q51"/>
    <mergeCell ref="R51:U51"/>
    <mergeCell ref="V51:X51"/>
    <mergeCell ref="Y51:AB51"/>
    <mergeCell ref="A50:C50"/>
    <mergeCell ref="D50:G50"/>
    <mergeCell ref="H50:J50"/>
    <mergeCell ref="K50:N50"/>
    <mergeCell ref="O50:Q50"/>
    <mergeCell ref="R50:U50"/>
    <mergeCell ref="O49:Q49"/>
    <mergeCell ref="R49:U49"/>
    <mergeCell ref="V49:X49"/>
    <mergeCell ref="Y49:AB49"/>
    <mergeCell ref="AA43:AF43"/>
    <mergeCell ref="AG43:AL43"/>
    <mergeCell ref="A47:N47"/>
    <mergeCell ref="O47:AB47"/>
    <mergeCell ref="A48:C48"/>
    <mergeCell ref="D48:G48"/>
    <mergeCell ref="H48:J48"/>
    <mergeCell ref="K48:N48"/>
    <mergeCell ref="O48:Q48"/>
    <mergeCell ref="R48:U48"/>
    <mergeCell ref="V48:X48"/>
    <mergeCell ref="Y48:AB48"/>
    <mergeCell ref="A49:C49"/>
    <mergeCell ref="D49:G49"/>
    <mergeCell ref="H49:J49"/>
    <mergeCell ref="K49:N49"/>
    <mergeCell ref="AG39:AL39"/>
    <mergeCell ref="A40:B40"/>
    <mergeCell ref="AG40:AL42"/>
    <mergeCell ref="A42:B42"/>
    <mergeCell ref="A43:B43"/>
    <mergeCell ref="C43:H43"/>
    <mergeCell ref="I43:N43"/>
    <mergeCell ref="O43:T43"/>
    <mergeCell ref="U43:Z43"/>
    <mergeCell ref="A39:B39"/>
    <mergeCell ref="C39:H39"/>
    <mergeCell ref="I39:N39"/>
    <mergeCell ref="O39:T39"/>
    <mergeCell ref="U39:Z39"/>
    <mergeCell ref="AA39:AF39"/>
    <mergeCell ref="C41:N41"/>
    <mergeCell ref="U41:AF41"/>
    <mergeCell ref="O42:T42"/>
    <mergeCell ref="O41:T41"/>
    <mergeCell ref="C42:N42"/>
    <mergeCell ref="AA33:AF33"/>
    <mergeCell ref="AG33:AL33"/>
    <mergeCell ref="AG29:AL29"/>
    <mergeCell ref="A30:B30"/>
    <mergeCell ref="A31:B31"/>
    <mergeCell ref="AA31:AF31"/>
    <mergeCell ref="AG31:AL31"/>
    <mergeCell ref="A29:B29"/>
    <mergeCell ref="C29:H29"/>
    <mergeCell ref="I29:N29"/>
    <mergeCell ref="O29:T29"/>
    <mergeCell ref="U29:Z29"/>
    <mergeCell ref="AA29:AF29"/>
    <mergeCell ref="AA32:AF32"/>
    <mergeCell ref="AG32:AL32"/>
    <mergeCell ref="C30:H30"/>
    <mergeCell ref="I30:N30"/>
    <mergeCell ref="O30:T30"/>
    <mergeCell ref="U30:Z30"/>
    <mergeCell ref="AA30:AF30"/>
    <mergeCell ref="AG30:AL30"/>
    <mergeCell ref="A22:B22"/>
    <mergeCell ref="A23:B23"/>
    <mergeCell ref="C23:H23"/>
    <mergeCell ref="I23:N23"/>
    <mergeCell ref="O23:T23"/>
    <mergeCell ref="U23:Z23"/>
    <mergeCell ref="AA23:AF23"/>
    <mergeCell ref="AG23:AL23"/>
    <mergeCell ref="A20:B20"/>
    <mergeCell ref="A21:B21"/>
    <mergeCell ref="C21:H21"/>
    <mergeCell ref="I21:N21"/>
    <mergeCell ref="AA21:AF21"/>
    <mergeCell ref="AG21:AL21"/>
    <mergeCell ref="C20:H20"/>
    <mergeCell ref="I20:N20"/>
    <mergeCell ref="O20:T20"/>
    <mergeCell ref="U20:Z20"/>
    <mergeCell ref="AA20:AF20"/>
    <mergeCell ref="AG20:AL20"/>
    <mergeCell ref="O21:T21"/>
    <mergeCell ref="U21:Z21"/>
    <mergeCell ref="C22:H22"/>
    <mergeCell ref="I22:N22"/>
    <mergeCell ref="AG13:AL13"/>
    <mergeCell ref="A19:B19"/>
    <mergeCell ref="C19:H19"/>
    <mergeCell ref="I19:N19"/>
    <mergeCell ref="O19:T19"/>
    <mergeCell ref="U19:Z19"/>
    <mergeCell ref="AA19:AF19"/>
    <mergeCell ref="AG19:AL19"/>
    <mergeCell ref="A13:B13"/>
    <mergeCell ref="C13:H13"/>
    <mergeCell ref="I13:N13"/>
    <mergeCell ref="O13:T13"/>
    <mergeCell ref="U13:Z13"/>
    <mergeCell ref="AA13:AF13"/>
    <mergeCell ref="A10:B10"/>
    <mergeCell ref="C10:H10"/>
    <mergeCell ref="I10:N10"/>
    <mergeCell ref="O10:T10"/>
    <mergeCell ref="U10:Z10"/>
    <mergeCell ref="AA10:AF10"/>
    <mergeCell ref="AG10:AL10"/>
    <mergeCell ref="AG11:AL11"/>
    <mergeCell ref="A12:B12"/>
    <mergeCell ref="C12:H12"/>
    <mergeCell ref="I12:N12"/>
    <mergeCell ref="O12:T12"/>
    <mergeCell ref="U12:Z12"/>
    <mergeCell ref="AA12:AF12"/>
    <mergeCell ref="AG12:AL12"/>
    <mergeCell ref="A11:B11"/>
    <mergeCell ref="C11:H11"/>
    <mergeCell ref="I11:N11"/>
    <mergeCell ref="O11:T11"/>
    <mergeCell ref="U11:Z11"/>
    <mergeCell ref="AA11:AF11"/>
    <mergeCell ref="D8:F8"/>
    <mergeCell ref="A9:B9"/>
    <mergeCell ref="C9:H9"/>
    <mergeCell ref="I9:N9"/>
    <mergeCell ref="O9:T9"/>
    <mergeCell ref="U9:Z9"/>
    <mergeCell ref="AA2:AL2"/>
    <mergeCell ref="L3:Q3"/>
    <mergeCell ref="R3:U3"/>
    <mergeCell ref="AA3:AL3"/>
    <mergeCell ref="AA4:AL4"/>
    <mergeCell ref="W3:Z5"/>
    <mergeCell ref="AA5:AL5"/>
    <mergeCell ref="AA9:AF9"/>
    <mergeCell ref="AG9:AL9"/>
    <mergeCell ref="A1:B1"/>
    <mergeCell ref="C1:J1"/>
    <mergeCell ref="L1:U1"/>
    <mergeCell ref="W1:Z1"/>
    <mergeCell ref="AA1:AL1"/>
    <mergeCell ref="A2:B2"/>
    <mergeCell ref="C2:J2"/>
    <mergeCell ref="L2:Q2"/>
    <mergeCell ref="R2:U2"/>
    <mergeCell ref="W2:Z2"/>
  </mergeCells>
  <phoneticPr fontId="2"/>
  <pageMargins left="0.7" right="0.7" top="0.75" bottom="0.75" header="0.3" footer="0.3"/>
  <pageSetup paperSize="9" scale="55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17A9-D884-4FC3-8DCA-F457DDCCAC99}">
  <sheetPr>
    <pageSetUpPr fitToPage="1"/>
  </sheetPr>
  <dimension ref="A1:AL51"/>
  <sheetViews>
    <sheetView view="pageBreakPreview" zoomScaleNormal="100" zoomScaleSheetLayoutView="100" zoomScalePageLayoutView="75" workbookViewId="0">
      <selection sqref="A1:B1"/>
    </sheetView>
  </sheetViews>
  <sheetFormatPr defaultColWidth="3.69921875" defaultRowHeight="18"/>
  <cols>
    <col min="1" max="1" width="3.796875" style="1" customWidth="1"/>
    <col min="2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18" t="s">
        <v>18</v>
      </c>
      <c r="B1" s="18"/>
      <c r="C1" s="14" t="s">
        <v>61</v>
      </c>
      <c r="D1" s="14"/>
      <c r="E1" s="14"/>
      <c r="F1" s="14"/>
      <c r="G1" s="14"/>
      <c r="H1" s="14"/>
      <c r="I1" s="14"/>
      <c r="J1" s="14"/>
      <c r="L1" s="18" t="s">
        <v>23</v>
      </c>
      <c r="M1" s="18"/>
      <c r="N1" s="18"/>
      <c r="O1" s="18"/>
      <c r="P1" s="18"/>
      <c r="Q1" s="18"/>
      <c r="R1" s="18"/>
      <c r="S1" s="18"/>
      <c r="T1" s="18"/>
      <c r="U1" s="18"/>
      <c r="W1" s="18" t="s">
        <v>20</v>
      </c>
      <c r="X1" s="18"/>
      <c r="Y1" s="18"/>
      <c r="Z1" s="18"/>
      <c r="AA1" s="14" t="s">
        <v>63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>
      <c r="A2" s="18" t="s">
        <v>19</v>
      </c>
      <c r="B2" s="18"/>
      <c r="C2" s="14" t="s">
        <v>62</v>
      </c>
      <c r="D2" s="14"/>
      <c r="E2" s="14"/>
      <c r="F2" s="14"/>
      <c r="G2" s="14"/>
      <c r="H2" s="14"/>
      <c r="I2" s="14"/>
      <c r="J2" s="14"/>
      <c r="L2" s="14" t="s">
        <v>24</v>
      </c>
      <c r="M2" s="14"/>
      <c r="N2" s="14"/>
      <c r="O2" s="14"/>
      <c r="P2" s="14"/>
      <c r="Q2" s="14"/>
      <c r="R2" s="14" t="s">
        <v>25</v>
      </c>
      <c r="S2" s="14"/>
      <c r="T2" s="14"/>
      <c r="U2" s="14"/>
      <c r="W2" s="18" t="s">
        <v>21</v>
      </c>
      <c r="X2" s="18"/>
      <c r="Y2" s="18"/>
      <c r="Z2" s="18"/>
      <c r="AA2" s="14" t="s">
        <v>64</v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>
      <c r="L3" s="14"/>
      <c r="M3" s="14"/>
      <c r="N3" s="14"/>
      <c r="O3" s="14"/>
      <c r="P3" s="14"/>
      <c r="Q3" s="14"/>
      <c r="R3" s="14"/>
      <c r="S3" s="14"/>
      <c r="T3" s="14"/>
      <c r="U3" s="14"/>
      <c r="W3" s="78" t="s">
        <v>22</v>
      </c>
      <c r="X3" s="79"/>
      <c r="Y3" s="79"/>
      <c r="Z3" s="80"/>
      <c r="AA3" s="14" t="s">
        <v>67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>
      <c r="W4" s="81"/>
      <c r="X4" s="82"/>
      <c r="Y4" s="82"/>
      <c r="Z4" s="83"/>
      <c r="AA4" s="14" t="s">
        <v>66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>
      <c r="W5" s="84"/>
      <c r="X5" s="85"/>
      <c r="Y5" s="85"/>
      <c r="Z5" s="86"/>
      <c r="AA5" s="14" t="s">
        <v>65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8" spans="1:38">
      <c r="A8" s="1" t="s">
        <v>92</v>
      </c>
      <c r="D8" s="20">
        <v>0.41666666666666669</v>
      </c>
      <c r="E8" s="20"/>
      <c r="F8" s="20"/>
    </row>
    <row r="9" spans="1:38" s="2" customFormat="1" ht="18.600000000000001" thickBot="1">
      <c r="A9" s="23"/>
      <c r="B9" s="23"/>
      <c r="C9" s="28">
        <f>D8</f>
        <v>0.41666666666666669</v>
      </c>
      <c r="D9" s="28"/>
      <c r="E9" s="28"/>
      <c r="F9" s="28"/>
      <c r="G9" s="28"/>
      <c r="H9" s="29"/>
      <c r="I9" s="27">
        <f>C9+'参照用（触らない）'!$A$2</f>
        <v>0.4375</v>
      </c>
      <c r="J9" s="28"/>
      <c r="K9" s="28"/>
      <c r="L9" s="28"/>
      <c r="M9" s="28"/>
      <c r="N9" s="28"/>
      <c r="O9" s="28">
        <f>C9+'参照用（触らない）'!$A$1</f>
        <v>0.45833333333333337</v>
      </c>
      <c r="P9" s="28"/>
      <c r="Q9" s="28"/>
      <c r="R9" s="28"/>
      <c r="S9" s="28"/>
      <c r="T9" s="29"/>
      <c r="U9" s="27">
        <f>O9+'参照用（触らない）'!$A$2</f>
        <v>0.47916666666666669</v>
      </c>
      <c r="V9" s="28"/>
      <c r="W9" s="28"/>
      <c r="X9" s="28"/>
      <c r="Y9" s="28"/>
      <c r="Z9" s="28"/>
      <c r="AA9" s="28">
        <f>O9+'参照用（触らない）'!$A$1</f>
        <v>0.5</v>
      </c>
      <c r="AB9" s="28"/>
      <c r="AC9" s="28"/>
      <c r="AD9" s="28"/>
      <c r="AE9" s="28"/>
      <c r="AF9" s="29"/>
      <c r="AG9" s="27">
        <f>AA9+'参照用（触らない）'!$A$2</f>
        <v>0.52083333333333337</v>
      </c>
      <c r="AH9" s="28"/>
      <c r="AI9" s="28"/>
      <c r="AJ9" s="28"/>
      <c r="AK9" s="28"/>
      <c r="AL9" s="28"/>
    </row>
    <row r="10" spans="1:38" ht="35.4" customHeight="1" thickTop="1">
      <c r="A10" s="19" t="s">
        <v>16</v>
      </c>
      <c r="B10" s="19"/>
      <c r="C10" s="53"/>
      <c r="D10" s="53"/>
      <c r="E10" s="53"/>
      <c r="F10" s="53"/>
      <c r="G10" s="53"/>
      <c r="H10" s="48"/>
      <c r="I10" s="99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48"/>
      <c r="U10" s="99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48"/>
      <c r="AG10" s="99"/>
      <c r="AH10" s="53"/>
      <c r="AI10" s="53"/>
      <c r="AJ10" s="53"/>
      <c r="AK10" s="53"/>
      <c r="AL10" s="53"/>
    </row>
    <row r="11" spans="1:38" ht="35.4" customHeight="1">
      <c r="A11" s="18" t="s">
        <v>4</v>
      </c>
      <c r="B11" s="18"/>
      <c r="C11" s="53"/>
      <c r="D11" s="53"/>
      <c r="E11" s="53"/>
      <c r="F11" s="53"/>
      <c r="G11" s="53"/>
      <c r="H11" s="48"/>
      <c r="I11" s="99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48"/>
      <c r="U11" s="99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48"/>
      <c r="AG11" s="99"/>
      <c r="AH11" s="53"/>
      <c r="AI11" s="53"/>
      <c r="AJ11" s="53"/>
      <c r="AK11" s="53"/>
      <c r="AL11" s="53"/>
    </row>
    <row r="12" spans="1:38" ht="35.4" customHeight="1" thickBot="1">
      <c r="A12" s="24" t="s">
        <v>6</v>
      </c>
      <c r="B12" s="24"/>
      <c r="C12" s="100"/>
      <c r="D12" s="100"/>
      <c r="E12" s="100"/>
      <c r="F12" s="100"/>
      <c r="G12" s="100"/>
      <c r="H12" s="60"/>
      <c r="I12" s="101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60"/>
      <c r="U12" s="101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60"/>
      <c r="AG12" s="101"/>
      <c r="AH12" s="100"/>
      <c r="AI12" s="100"/>
      <c r="AJ12" s="100"/>
      <c r="AK12" s="100"/>
      <c r="AL12" s="100"/>
    </row>
    <row r="13" spans="1:38" ht="57" customHeight="1" thickTop="1">
      <c r="A13" s="19" t="s">
        <v>17</v>
      </c>
      <c r="B13" s="19"/>
      <c r="C13" s="44" t="s">
        <v>106</v>
      </c>
      <c r="D13" s="44"/>
      <c r="E13" s="44"/>
      <c r="F13" s="44"/>
      <c r="G13" s="44"/>
      <c r="H13" s="45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2"/>
      <c r="U13" s="36"/>
      <c r="V13" s="37"/>
      <c r="W13" s="37"/>
      <c r="X13" s="37"/>
      <c r="Y13" s="37"/>
      <c r="Z13" s="38"/>
      <c r="AA13" s="22"/>
      <c r="AB13" s="22"/>
      <c r="AC13" s="22"/>
      <c r="AD13" s="22"/>
      <c r="AE13" s="22"/>
      <c r="AF13" s="32"/>
      <c r="AG13" s="21"/>
      <c r="AH13" s="22"/>
      <c r="AI13" s="22"/>
      <c r="AJ13" s="22"/>
      <c r="AK13" s="22"/>
      <c r="AL13" s="22"/>
    </row>
    <row r="19" spans="1:38" ht="18.600000000000001" thickBot="1">
      <c r="A19" s="23"/>
      <c r="B19" s="23"/>
      <c r="C19" s="28">
        <f>AA9+'参照用（触らない）'!$A$1</f>
        <v>0.54166666666666663</v>
      </c>
      <c r="D19" s="28"/>
      <c r="E19" s="28"/>
      <c r="F19" s="28"/>
      <c r="G19" s="28"/>
      <c r="H19" s="29"/>
      <c r="I19" s="27">
        <f>C19+'参照用（触らない）'!$A$2</f>
        <v>0.5625</v>
      </c>
      <c r="J19" s="28"/>
      <c r="K19" s="28"/>
      <c r="L19" s="28"/>
      <c r="M19" s="28"/>
      <c r="N19" s="28"/>
      <c r="O19" s="28">
        <f>C19+'参照用（触らない）'!$A$1</f>
        <v>0.58333333333333326</v>
      </c>
      <c r="P19" s="28"/>
      <c r="Q19" s="28"/>
      <c r="R19" s="28"/>
      <c r="S19" s="28"/>
      <c r="T19" s="29"/>
      <c r="U19" s="27">
        <f>O19+'参照用（触らない）'!$A$2</f>
        <v>0.60416666666666663</v>
      </c>
      <c r="V19" s="28"/>
      <c r="W19" s="28"/>
      <c r="X19" s="28"/>
      <c r="Y19" s="28"/>
      <c r="Z19" s="28"/>
      <c r="AA19" s="28">
        <f>O19+'参照用（触らない）'!$A$1</f>
        <v>0.62499999999999989</v>
      </c>
      <c r="AB19" s="28"/>
      <c r="AC19" s="28"/>
      <c r="AD19" s="28"/>
      <c r="AE19" s="28"/>
      <c r="AF19" s="29"/>
      <c r="AG19" s="27">
        <f>AA19+'参照用（触らない）'!$A$2</f>
        <v>0.64583333333333326</v>
      </c>
      <c r="AH19" s="28"/>
      <c r="AI19" s="28"/>
      <c r="AJ19" s="28"/>
      <c r="AK19" s="28"/>
      <c r="AL19" s="28"/>
    </row>
    <row r="20" spans="1:38" ht="35.4" customHeight="1" thickTop="1">
      <c r="A20" s="19" t="s">
        <v>16</v>
      </c>
      <c r="B20" s="19"/>
      <c r="C20" s="53"/>
      <c r="D20" s="53"/>
      <c r="E20" s="53"/>
      <c r="F20" s="53"/>
      <c r="G20" s="53"/>
      <c r="H20" s="48"/>
      <c r="I20" s="99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48"/>
      <c r="U20" s="99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48"/>
      <c r="AG20" s="99"/>
      <c r="AH20" s="53"/>
      <c r="AI20" s="53"/>
      <c r="AJ20" s="53"/>
      <c r="AK20" s="53"/>
      <c r="AL20" s="53"/>
    </row>
    <row r="21" spans="1:38" ht="35.4" customHeight="1">
      <c r="A21" s="18" t="s">
        <v>4</v>
      </c>
      <c r="B21" s="18"/>
      <c r="C21" s="53"/>
      <c r="D21" s="53"/>
      <c r="E21" s="53"/>
      <c r="F21" s="53"/>
      <c r="G21" s="53"/>
      <c r="H21" s="48"/>
      <c r="I21" s="99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48"/>
      <c r="U21" s="99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48"/>
      <c r="AG21" s="99"/>
      <c r="AH21" s="53"/>
      <c r="AI21" s="53"/>
      <c r="AJ21" s="53"/>
      <c r="AK21" s="53"/>
      <c r="AL21" s="53"/>
    </row>
    <row r="22" spans="1:38" ht="35.4" customHeight="1" thickBot="1">
      <c r="A22" s="24" t="s">
        <v>6</v>
      </c>
      <c r="B22" s="24"/>
      <c r="C22" s="100"/>
      <c r="D22" s="100"/>
      <c r="E22" s="100"/>
      <c r="F22" s="100"/>
      <c r="G22" s="100"/>
      <c r="H22" s="60"/>
      <c r="I22" s="101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60"/>
      <c r="U22" s="101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60"/>
      <c r="AG22" s="101"/>
      <c r="AH22" s="100"/>
      <c r="AI22" s="100"/>
      <c r="AJ22" s="100"/>
      <c r="AK22" s="100"/>
      <c r="AL22" s="100"/>
    </row>
    <row r="23" spans="1:38" ht="57" customHeight="1" thickTop="1">
      <c r="A23" s="19" t="s">
        <v>17</v>
      </c>
      <c r="B23" s="19"/>
      <c r="C23" s="44" t="s">
        <v>107</v>
      </c>
      <c r="D23" s="44"/>
      <c r="E23" s="44"/>
      <c r="F23" s="44"/>
      <c r="G23" s="44"/>
      <c r="H23" s="45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32"/>
      <c r="U23" s="51"/>
      <c r="V23" s="52"/>
      <c r="W23" s="52"/>
      <c r="X23" s="52"/>
      <c r="Y23" s="52"/>
      <c r="Z23" s="52"/>
      <c r="AA23" s="22"/>
      <c r="AB23" s="22"/>
      <c r="AC23" s="22"/>
      <c r="AD23" s="22"/>
      <c r="AE23" s="22"/>
      <c r="AF23" s="32"/>
      <c r="AG23" s="21"/>
      <c r="AH23" s="22"/>
      <c r="AI23" s="22"/>
      <c r="AJ23" s="22"/>
      <c r="AK23" s="22"/>
      <c r="AL23" s="22"/>
    </row>
    <row r="29" spans="1:38" ht="18.600000000000001" thickBot="1">
      <c r="A29" s="23"/>
      <c r="B29" s="23"/>
      <c r="C29" s="28">
        <f>AA19+'参照用（触らない）'!$A$1</f>
        <v>0.66666666666666652</v>
      </c>
      <c r="D29" s="28"/>
      <c r="E29" s="28"/>
      <c r="F29" s="28"/>
      <c r="G29" s="28"/>
      <c r="H29" s="29"/>
      <c r="I29" s="27">
        <f>C29+'参照用（触らない）'!$A$2</f>
        <v>0.68749999999999989</v>
      </c>
      <c r="J29" s="28"/>
      <c r="K29" s="28"/>
      <c r="L29" s="28"/>
      <c r="M29" s="28"/>
      <c r="N29" s="28"/>
      <c r="O29" s="28">
        <f>C29+'参照用（触らない）'!$A$1</f>
        <v>0.70833333333333315</v>
      </c>
      <c r="P29" s="28"/>
      <c r="Q29" s="28"/>
      <c r="R29" s="28"/>
      <c r="S29" s="28"/>
      <c r="T29" s="29"/>
      <c r="U29" s="27">
        <f>O29+'参照用（触らない）'!$A$2</f>
        <v>0.72916666666666652</v>
      </c>
      <c r="V29" s="28"/>
      <c r="W29" s="28"/>
      <c r="X29" s="28"/>
      <c r="Y29" s="28"/>
      <c r="Z29" s="28"/>
      <c r="AA29" s="28">
        <f>O29+'参照用（触らない）'!$A$1</f>
        <v>0.74999999999999978</v>
      </c>
      <c r="AB29" s="28"/>
      <c r="AC29" s="28"/>
      <c r="AD29" s="28"/>
      <c r="AE29" s="28"/>
      <c r="AF29" s="29"/>
      <c r="AG29" s="27">
        <f>AA29+'参照用（触らない）'!$A$2</f>
        <v>0.77083333333333315</v>
      </c>
      <c r="AH29" s="28"/>
      <c r="AI29" s="28"/>
      <c r="AJ29" s="28"/>
      <c r="AK29" s="28"/>
      <c r="AL29" s="28"/>
    </row>
    <row r="30" spans="1:38" ht="35.4" customHeight="1" thickTop="1">
      <c r="A30" s="19" t="s">
        <v>16</v>
      </c>
      <c r="B30" s="19"/>
      <c r="C30" s="53"/>
      <c r="D30" s="53"/>
      <c r="E30" s="53"/>
      <c r="F30" s="53"/>
      <c r="G30" s="53"/>
      <c r="H30" s="48"/>
      <c r="I30" s="99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48"/>
      <c r="U30" s="99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48"/>
      <c r="AG30" s="99"/>
      <c r="AH30" s="53"/>
      <c r="AI30" s="53"/>
      <c r="AJ30" s="53"/>
      <c r="AK30" s="53"/>
      <c r="AL30" s="53"/>
    </row>
    <row r="31" spans="1:38" ht="35.4" customHeight="1">
      <c r="A31" s="18" t="s">
        <v>4</v>
      </c>
      <c r="B31" s="18"/>
      <c r="C31" s="53"/>
      <c r="D31" s="53"/>
      <c r="E31" s="53"/>
      <c r="F31" s="53"/>
      <c r="G31" s="53"/>
      <c r="H31" s="48"/>
      <c r="I31" s="99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48"/>
      <c r="U31" s="99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48"/>
      <c r="AG31" s="99"/>
      <c r="AH31" s="53"/>
      <c r="AI31" s="53"/>
      <c r="AJ31" s="53"/>
      <c r="AK31" s="53"/>
      <c r="AL31" s="53"/>
    </row>
    <row r="32" spans="1:38" ht="35.4" customHeight="1" thickBot="1">
      <c r="A32" s="24" t="s">
        <v>6</v>
      </c>
      <c r="B32" s="24"/>
      <c r="C32" s="100"/>
      <c r="D32" s="100"/>
      <c r="E32" s="100"/>
      <c r="F32" s="100"/>
      <c r="G32" s="100"/>
      <c r="H32" s="60"/>
      <c r="I32" s="101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60"/>
      <c r="U32" s="101"/>
      <c r="V32" s="100"/>
      <c r="W32" s="100"/>
      <c r="X32" s="100"/>
      <c r="Y32" s="100"/>
      <c r="Z32" s="100"/>
      <c r="AA32" s="60" t="s">
        <v>143</v>
      </c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2"/>
    </row>
    <row r="33" spans="1:38" ht="57" customHeight="1" thickTop="1">
      <c r="A33" s="19" t="s">
        <v>17</v>
      </c>
      <c r="B33" s="19"/>
      <c r="C33" s="54" t="s">
        <v>108</v>
      </c>
      <c r="D33" s="54"/>
      <c r="E33" s="54"/>
      <c r="F33" s="54"/>
      <c r="G33" s="54"/>
      <c r="H33" s="55"/>
      <c r="I33" s="21"/>
      <c r="J33" s="22"/>
      <c r="K33" s="22"/>
      <c r="L33" s="22"/>
      <c r="M33" s="22"/>
      <c r="N33" s="22"/>
      <c r="O33" s="54"/>
      <c r="P33" s="54"/>
      <c r="Q33" s="54"/>
      <c r="R33" s="54"/>
      <c r="S33" s="54"/>
      <c r="T33" s="55"/>
      <c r="U33" s="56"/>
      <c r="V33" s="54"/>
      <c r="W33" s="54"/>
      <c r="X33" s="54"/>
      <c r="Y33" s="54"/>
      <c r="Z33" s="54"/>
      <c r="AA33" s="54" t="s">
        <v>109</v>
      </c>
      <c r="AB33" s="54"/>
      <c r="AC33" s="54"/>
      <c r="AD33" s="54"/>
      <c r="AE33" s="54"/>
      <c r="AF33" s="57"/>
      <c r="AG33" s="56" t="s">
        <v>110</v>
      </c>
      <c r="AH33" s="54"/>
      <c r="AI33" s="54"/>
      <c r="AJ33" s="54"/>
      <c r="AK33" s="54"/>
      <c r="AL33" s="54"/>
    </row>
    <row r="39" spans="1:38" ht="18.600000000000001" thickBot="1">
      <c r="A39" s="23"/>
      <c r="B39" s="23"/>
      <c r="C39" s="28">
        <f>AA29+'参照用（触らない）'!$A$1</f>
        <v>0.79166666666666641</v>
      </c>
      <c r="D39" s="28"/>
      <c r="E39" s="28"/>
      <c r="F39" s="28"/>
      <c r="G39" s="28"/>
      <c r="H39" s="29"/>
      <c r="I39" s="27">
        <f>C39+'参照用（触らない）'!$A$2</f>
        <v>0.81249999999999978</v>
      </c>
      <c r="J39" s="28"/>
      <c r="K39" s="28"/>
      <c r="L39" s="28"/>
      <c r="M39" s="28"/>
      <c r="N39" s="28"/>
      <c r="O39" s="28">
        <f>C39+'参照用（触らない）'!$A$1</f>
        <v>0.83333333333333304</v>
      </c>
      <c r="P39" s="28"/>
      <c r="Q39" s="28"/>
      <c r="R39" s="28"/>
      <c r="S39" s="28"/>
      <c r="T39" s="29"/>
      <c r="U39" s="27">
        <f>O39+'参照用（触らない）'!$A$2</f>
        <v>0.85416666666666641</v>
      </c>
      <c r="V39" s="28"/>
      <c r="W39" s="28"/>
      <c r="X39" s="28"/>
      <c r="Y39" s="28"/>
      <c r="Z39" s="28"/>
      <c r="AA39" s="28">
        <f>O39+'参照用（触らない）'!$A$1</f>
        <v>0.87499999999999967</v>
      </c>
      <c r="AB39" s="28"/>
      <c r="AC39" s="28"/>
      <c r="AD39" s="28"/>
      <c r="AE39" s="28"/>
      <c r="AF39" s="29"/>
      <c r="AG39" s="27">
        <f>AA39+'参照用（触らない）'!$A$2</f>
        <v>0.89583333333333304</v>
      </c>
      <c r="AH39" s="28"/>
      <c r="AI39" s="28"/>
      <c r="AJ39" s="28"/>
      <c r="AK39" s="28"/>
      <c r="AL39" s="28"/>
    </row>
    <row r="40" spans="1:38" ht="35.4" customHeight="1" thickTop="1">
      <c r="A40" s="19" t="s">
        <v>16</v>
      </c>
      <c r="B40" s="19"/>
      <c r="C40" s="53"/>
      <c r="D40" s="53"/>
      <c r="E40" s="53"/>
      <c r="F40" s="53"/>
      <c r="G40" s="53"/>
      <c r="H40" s="48"/>
      <c r="I40" s="99"/>
      <c r="J40" s="53"/>
      <c r="K40" s="53"/>
      <c r="L40" s="53"/>
      <c r="M40" s="53"/>
      <c r="N40" s="53"/>
      <c r="O40" s="88" t="s">
        <v>122</v>
      </c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98"/>
      <c r="AG40" s="63" t="s">
        <v>32</v>
      </c>
      <c r="AH40" s="64"/>
      <c r="AI40" s="64"/>
      <c r="AJ40" s="64"/>
      <c r="AK40" s="64"/>
      <c r="AL40" s="65"/>
    </row>
    <row r="41" spans="1:38" ht="35.4" customHeight="1">
      <c r="A41" s="18" t="s">
        <v>4</v>
      </c>
      <c r="B41" s="18"/>
      <c r="C41" s="53"/>
      <c r="D41" s="53"/>
      <c r="E41" s="53"/>
      <c r="F41" s="53"/>
      <c r="G41" s="53"/>
      <c r="H41" s="48"/>
      <c r="I41" s="99"/>
      <c r="J41" s="53"/>
      <c r="K41" s="53"/>
      <c r="L41" s="53"/>
      <c r="M41" s="53"/>
      <c r="N41" s="53"/>
      <c r="O41" s="73" t="s">
        <v>144</v>
      </c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4"/>
      <c r="AG41" s="66"/>
      <c r="AH41" s="67"/>
      <c r="AI41" s="67"/>
      <c r="AJ41" s="67"/>
      <c r="AK41" s="67"/>
      <c r="AL41" s="68"/>
    </row>
    <row r="42" spans="1:38" ht="35.4" customHeight="1" thickBot="1">
      <c r="A42" s="24" t="s">
        <v>6</v>
      </c>
      <c r="B42" s="24"/>
      <c r="C42" s="60" t="s">
        <v>143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2"/>
      <c r="O42" s="60" t="s">
        <v>144</v>
      </c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119"/>
      <c r="AG42" s="69"/>
      <c r="AH42" s="70"/>
      <c r="AI42" s="70"/>
      <c r="AJ42" s="70"/>
      <c r="AK42" s="70"/>
      <c r="AL42" s="71"/>
    </row>
    <row r="43" spans="1:38" ht="57" customHeight="1" thickTop="1">
      <c r="A43" s="19" t="s">
        <v>17</v>
      </c>
      <c r="B43" s="19"/>
      <c r="C43" s="54" t="s">
        <v>118</v>
      </c>
      <c r="D43" s="54"/>
      <c r="E43" s="54"/>
      <c r="F43" s="54"/>
      <c r="G43" s="54"/>
      <c r="H43" s="55"/>
      <c r="I43" s="102" t="s">
        <v>119</v>
      </c>
      <c r="J43" s="44"/>
      <c r="K43" s="44"/>
      <c r="L43" s="44"/>
      <c r="M43" s="44"/>
      <c r="N43" s="44"/>
      <c r="O43" s="54" t="s">
        <v>121</v>
      </c>
      <c r="P43" s="54"/>
      <c r="Q43" s="54"/>
      <c r="R43" s="54"/>
      <c r="S43" s="54"/>
      <c r="T43" s="55"/>
      <c r="U43" s="56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6" t="s">
        <v>120</v>
      </c>
      <c r="AH43" s="54"/>
      <c r="AI43" s="54"/>
      <c r="AJ43" s="54"/>
      <c r="AK43" s="54"/>
      <c r="AL43" s="54"/>
    </row>
    <row r="47" spans="1:38">
      <c r="A47" s="75" t="s">
        <v>1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7"/>
      <c r="O47" s="75" t="s">
        <v>28</v>
      </c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</row>
    <row r="48" spans="1:38">
      <c r="A48" s="14" t="str">
        <f>VLOOKUP('参照用（触らない）'!$B1,メンバー!$A$13:$I$17,2,FALSE)</f>
        <v>わざさん</v>
      </c>
      <c r="B48" s="14"/>
      <c r="C48" s="14"/>
      <c r="D48" s="14" t="str">
        <f>VLOOKUP('参照用（触らない）'!$B1,メンバー!$A$13:$I$17,6,FALSE)</f>
        <v>18～</v>
      </c>
      <c r="E48" s="14"/>
      <c r="F48" s="14"/>
      <c r="G48" s="15"/>
      <c r="H48" s="13"/>
      <c r="I48" s="14"/>
      <c r="J48" s="14"/>
      <c r="K48" s="14"/>
      <c r="L48" s="14"/>
      <c r="M48" s="14"/>
      <c r="N48" s="15"/>
      <c r="O48" s="13" t="str">
        <f>VLOOKUP('参照用（触らない）'!$B1,メンバー!$A$3:$I$11,3,FALSE)</f>
        <v>前原A僚太</v>
      </c>
      <c r="P48" s="14"/>
      <c r="Q48" s="14"/>
      <c r="R48" s="14" t="str">
        <f>VLOOKUP('参照用（触らない）'!$B1,メンバー!$A$3:$I$11,6,FALSE)</f>
        <v>16～</v>
      </c>
      <c r="S48" s="14"/>
      <c r="T48" s="14"/>
      <c r="U48" s="15"/>
      <c r="V48" s="13" t="str">
        <f>VLOOKUP('参照用（触らない）'!$B5,メンバー!$A$3:$I$11,3,FALSE)</f>
        <v>齋藤大輝</v>
      </c>
      <c r="W48" s="14"/>
      <c r="X48" s="14"/>
      <c r="Y48" s="15" t="str">
        <f>VLOOKUP('参照用（触らない）'!$B5,メンバー!$A$3:$I$11,6,FALSE)</f>
        <v>〇</v>
      </c>
      <c r="Z48" s="16"/>
      <c r="AA48" s="16"/>
      <c r="AB48" s="17"/>
    </row>
    <row r="49" spans="1:28">
      <c r="A49" s="14" t="str">
        <f>VLOOKUP('参照用（触らない）'!$B2,メンバー!$A$13:$I$17,2,FALSE)</f>
        <v>春田ひなの</v>
      </c>
      <c r="B49" s="14"/>
      <c r="C49" s="14"/>
      <c r="D49" s="14" t="str">
        <f>VLOOKUP('参照用（触らない）'!$B2,メンバー!$A$13:$I$17,6,FALSE)</f>
        <v>13～19※</v>
      </c>
      <c r="E49" s="14"/>
      <c r="F49" s="14"/>
      <c r="G49" s="15"/>
      <c r="H49" s="13"/>
      <c r="I49" s="14"/>
      <c r="J49" s="14"/>
      <c r="K49" s="14"/>
      <c r="L49" s="14"/>
      <c r="M49" s="14"/>
      <c r="N49" s="15"/>
      <c r="O49" s="13" t="str">
        <f>VLOOKUP('参照用（触らない）'!$B2,メンバー!$A$3:$I$11,3,FALSE)</f>
        <v>北風ゆうたろう</v>
      </c>
      <c r="P49" s="14"/>
      <c r="Q49" s="14"/>
      <c r="R49" s="14" t="str">
        <f>VLOOKUP('参照用（触らない）'!$B2,メンバー!$A$3:$I$11,6,FALSE)</f>
        <v>×</v>
      </c>
      <c r="S49" s="14"/>
      <c r="T49" s="14"/>
      <c r="U49" s="15"/>
      <c r="V49" s="13" t="str">
        <f>VLOOKUP('参照用（触らない）'!$B6,メンバー!$A$3:$I$11,3,FALSE)</f>
        <v>岡田萌</v>
      </c>
      <c r="W49" s="14"/>
      <c r="X49" s="14"/>
      <c r="Y49" s="15" t="str">
        <f>VLOOKUP('参照用（触らない）'!$B6,メンバー!$A$3:$I$11,6,FALSE)</f>
        <v>〇</v>
      </c>
      <c r="Z49" s="16"/>
      <c r="AA49" s="16"/>
      <c r="AB49" s="17"/>
    </row>
    <row r="50" spans="1:28">
      <c r="A50" s="14" t="str">
        <f>VLOOKUP('参照用（触らない）'!$B3,メンバー!$A$13:$I$17,2,FALSE)</f>
        <v>すみほのか</v>
      </c>
      <c r="B50" s="14"/>
      <c r="C50" s="14"/>
      <c r="D50" s="14" t="str">
        <f>VLOOKUP('参照用（触らない）'!$B3,メンバー!$A$13:$I$17,6,FALSE)</f>
        <v>18:30～</v>
      </c>
      <c r="E50" s="14"/>
      <c r="F50" s="14"/>
      <c r="G50" s="15"/>
      <c r="H50" s="13"/>
      <c r="I50" s="14"/>
      <c r="J50" s="14"/>
      <c r="K50" s="14"/>
      <c r="L50" s="14"/>
      <c r="M50" s="14"/>
      <c r="N50" s="15"/>
      <c r="O50" s="13" t="str">
        <f>VLOOKUP('参照用（触らない）'!$B3,メンバー!$A$3:$I$11,3,FALSE)</f>
        <v>蒼樹とも</v>
      </c>
      <c r="P50" s="14"/>
      <c r="Q50" s="14"/>
      <c r="R50" s="14" t="str">
        <f>VLOOKUP('参照用（触らない）'!$B3,メンバー!$A$3:$I$11,6,FALSE)</f>
        <v>19:30～</v>
      </c>
      <c r="S50" s="14"/>
      <c r="T50" s="14"/>
      <c r="U50" s="15"/>
      <c r="V50" s="13" t="str">
        <f>VLOOKUP('参照用（触らない）'!$B7,メンバー!$A$3:$I$11,3,FALSE)</f>
        <v>葵</v>
      </c>
      <c r="W50" s="14"/>
      <c r="X50" s="14"/>
      <c r="Y50" s="15" t="str">
        <f>VLOOKUP('参照用（触らない）'!$B7,メンバー!$A$3:$I$11,6,FALSE)</f>
        <v>19:30～※</v>
      </c>
      <c r="Z50" s="16"/>
      <c r="AA50" s="16"/>
      <c r="AB50" s="17"/>
    </row>
    <row r="51" spans="1:28">
      <c r="A51" s="14" t="str">
        <f>VLOOKUP('参照用（触らない）'!$B4,メンバー!$A$13:$I$17,2,FALSE)</f>
        <v>古川詠介</v>
      </c>
      <c r="B51" s="14"/>
      <c r="C51" s="14"/>
      <c r="D51" s="14" t="str">
        <f>VLOOKUP('参照用（触らない）'!$B4,メンバー!$A$13:$I$17,6,FALSE)</f>
        <v>×</v>
      </c>
      <c r="E51" s="14"/>
      <c r="F51" s="14"/>
      <c r="G51" s="15"/>
      <c r="H51" s="13"/>
      <c r="I51" s="14"/>
      <c r="J51" s="14"/>
      <c r="K51" s="14"/>
      <c r="L51" s="14"/>
      <c r="M51" s="14"/>
      <c r="N51" s="15"/>
      <c r="O51" s="13" t="str">
        <f>VLOOKUP('参照用（触らない）'!$B4,メンバー!$A$3:$I$11,3,FALSE)</f>
        <v>N碕</v>
      </c>
      <c r="P51" s="14"/>
      <c r="Q51" s="14"/>
      <c r="R51" s="14" t="str">
        <f>VLOOKUP('参照用（触らない）'!$B4,メンバー!$A$3:$I$11,6,FALSE)</f>
        <v>20～※</v>
      </c>
      <c r="S51" s="14"/>
      <c r="T51" s="14"/>
      <c r="U51" s="15"/>
      <c r="V51" s="13"/>
      <c r="W51" s="14"/>
      <c r="X51" s="14"/>
      <c r="Y51" s="14"/>
      <c r="Z51" s="14"/>
      <c r="AA51" s="14"/>
      <c r="AB51" s="14"/>
    </row>
  </sheetData>
  <mergeCells count="182">
    <mergeCell ref="I41:N41"/>
    <mergeCell ref="O40:AF40"/>
    <mergeCell ref="O42:AF42"/>
    <mergeCell ref="AA32:AL32"/>
    <mergeCell ref="C42:N42"/>
    <mergeCell ref="A41:B41"/>
    <mergeCell ref="C40:H40"/>
    <mergeCell ref="I40:N40"/>
    <mergeCell ref="AG39:AL39"/>
    <mergeCell ref="A40:B40"/>
    <mergeCell ref="AG40:AL42"/>
    <mergeCell ref="A42:B42"/>
    <mergeCell ref="A39:B39"/>
    <mergeCell ref="C39:H39"/>
    <mergeCell ref="I39:N39"/>
    <mergeCell ref="O39:T39"/>
    <mergeCell ref="U39:Z39"/>
    <mergeCell ref="AA39:AF39"/>
    <mergeCell ref="O41:AF41"/>
    <mergeCell ref="C41:H41"/>
    <mergeCell ref="AA20:AF20"/>
    <mergeCell ref="AG20:AL20"/>
    <mergeCell ref="O21:T21"/>
    <mergeCell ref="U21:Z21"/>
    <mergeCell ref="C31:H31"/>
    <mergeCell ref="I31:N31"/>
    <mergeCell ref="O31:T31"/>
    <mergeCell ref="U31:Z31"/>
    <mergeCell ref="C32:H32"/>
    <mergeCell ref="I32:N32"/>
    <mergeCell ref="O32:T32"/>
    <mergeCell ref="U32:Z32"/>
    <mergeCell ref="C30:H30"/>
    <mergeCell ref="I30:N30"/>
    <mergeCell ref="O30:T30"/>
    <mergeCell ref="U30:Z30"/>
    <mergeCell ref="A51:C51"/>
    <mergeCell ref="D51:G51"/>
    <mergeCell ref="H51:J51"/>
    <mergeCell ref="K51:N51"/>
    <mergeCell ref="O51:Q51"/>
    <mergeCell ref="R51:U51"/>
    <mergeCell ref="V51:X51"/>
    <mergeCell ref="Y51:AB51"/>
    <mergeCell ref="A50:C50"/>
    <mergeCell ref="D50:G50"/>
    <mergeCell ref="H50:J50"/>
    <mergeCell ref="K50:N50"/>
    <mergeCell ref="O50:Q50"/>
    <mergeCell ref="R50:U50"/>
    <mergeCell ref="A49:C49"/>
    <mergeCell ref="D49:G49"/>
    <mergeCell ref="H49:J49"/>
    <mergeCell ref="K49:N49"/>
    <mergeCell ref="O49:Q49"/>
    <mergeCell ref="R49:U49"/>
    <mergeCell ref="V49:X49"/>
    <mergeCell ref="Y49:AB49"/>
    <mergeCell ref="V50:X50"/>
    <mergeCell ref="Y50:AB50"/>
    <mergeCell ref="AA43:AF43"/>
    <mergeCell ref="AG43:AL43"/>
    <mergeCell ref="A47:N47"/>
    <mergeCell ref="O47:AB47"/>
    <mergeCell ref="A48:C48"/>
    <mergeCell ref="D48:G48"/>
    <mergeCell ref="H48:J48"/>
    <mergeCell ref="K48:N48"/>
    <mergeCell ref="O48:Q48"/>
    <mergeCell ref="R48:U48"/>
    <mergeCell ref="A43:B43"/>
    <mergeCell ref="C43:H43"/>
    <mergeCell ref="I43:N43"/>
    <mergeCell ref="O43:T43"/>
    <mergeCell ref="U43:Z43"/>
    <mergeCell ref="V48:X48"/>
    <mergeCell ref="Y48:AB48"/>
    <mergeCell ref="U33:Z33"/>
    <mergeCell ref="AA33:AF33"/>
    <mergeCell ref="AG33:AL33"/>
    <mergeCell ref="AG29:AL29"/>
    <mergeCell ref="A30:B30"/>
    <mergeCell ref="A31:B31"/>
    <mergeCell ref="AA31:AF31"/>
    <mergeCell ref="AG31:AL31"/>
    <mergeCell ref="A29:B29"/>
    <mergeCell ref="C29:H29"/>
    <mergeCell ref="I29:N29"/>
    <mergeCell ref="O29:T29"/>
    <mergeCell ref="U29:Z29"/>
    <mergeCell ref="AA29:AF29"/>
    <mergeCell ref="AA30:AF30"/>
    <mergeCell ref="AG30:AL30"/>
    <mergeCell ref="A32:B32"/>
    <mergeCell ref="A33:B33"/>
    <mergeCell ref="C33:H33"/>
    <mergeCell ref="I33:N33"/>
    <mergeCell ref="O33:T33"/>
    <mergeCell ref="A22:B22"/>
    <mergeCell ref="A23:B23"/>
    <mergeCell ref="C23:H23"/>
    <mergeCell ref="I23:N23"/>
    <mergeCell ref="O23:T23"/>
    <mergeCell ref="U23:Z23"/>
    <mergeCell ref="AA23:AF23"/>
    <mergeCell ref="AG23:AL23"/>
    <mergeCell ref="A20:B20"/>
    <mergeCell ref="A21:B21"/>
    <mergeCell ref="C21:H21"/>
    <mergeCell ref="I21:N21"/>
    <mergeCell ref="AA21:AF21"/>
    <mergeCell ref="AG21:AL21"/>
    <mergeCell ref="C20:H20"/>
    <mergeCell ref="C22:H22"/>
    <mergeCell ref="I22:N22"/>
    <mergeCell ref="O22:T22"/>
    <mergeCell ref="U22:Z22"/>
    <mergeCell ref="AA22:AF22"/>
    <mergeCell ref="AG22:AL22"/>
    <mergeCell ref="I20:N20"/>
    <mergeCell ref="O20:T20"/>
    <mergeCell ref="U20:Z20"/>
    <mergeCell ref="AG13:AL13"/>
    <mergeCell ref="A19:B19"/>
    <mergeCell ref="C19:H19"/>
    <mergeCell ref="I19:N19"/>
    <mergeCell ref="O19:T19"/>
    <mergeCell ref="U19:Z19"/>
    <mergeCell ref="AA19:AF19"/>
    <mergeCell ref="AG19:AL19"/>
    <mergeCell ref="A13:B13"/>
    <mergeCell ref="C13:H13"/>
    <mergeCell ref="I13:N13"/>
    <mergeCell ref="O13:T13"/>
    <mergeCell ref="U13:Z13"/>
    <mergeCell ref="AA13:AF13"/>
    <mergeCell ref="A10:B10"/>
    <mergeCell ref="C10:H10"/>
    <mergeCell ref="I10:N10"/>
    <mergeCell ref="O10:T10"/>
    <mergeCell ref="U10:Z10"/>
    <mergeCell ref="AA10:AF10"/>
    <mergeCell ref="AG10:AL10"/>
    <mergeCell ref="AG11:AL11"/>
    <mergeCell ref="A12:B12"/>
    <mergeCell ref="C12:H12"/>
    <mergeCell ref="I12:N12"/>
    <mergeCell ref="O12:T12"/>
    <mergeCell ref="U12:Z12"/>
    <mergeCell ref="AA12:AF12"/>
    <mergeCell ref="AG12:AL12"/>
    <mergeCell ref="A11:B11"/>
    <mergeCell ref="C11:H11"/>
    <mergeCell ref="I11:N11"/>
    <mergeCell ref="O11:T11"/>
    <mergeCell ref="U11:Z11"/>
    <mergeCell ref="AA11:AF11"/>
    <mergeCell ref="D8:F8"/>
    <mergeCell ref="A9:B9"/>
    <mergeCell ref="C9:H9"/>
    <mergeCell ref="I9:N9"/>
    <mergeCell ref="O9:T9"/>
    <mergeCell ref="U9:Z9"/>
    <mergeCell ref="AA2:AL2"/>
    <mergeCell ref="L3:Q3"/>
    <mergeCell ref="R3:U3"/>
    <mergeCell ref="AA3:AL3"/>
    <mergeCell ref="AA4:AL4"/>
    <mergeCell ref="W3:Z5"/>
    <mergeCell ref="AA5:AL5"/>
    <mergeCell ref="AA9:AF9"/>
    <mergeCell ref="AG9:AL9"/>
    <mergeCell ref="A1:B1"/>
    <mergeCell ref="C1:J1"/>
    <mergeCell ref="L1:U1"/>
    <mergeCell ref="W1:Z1"/>
    <mergeCell ref="AA1:AL1"/>
    <mergeCell ref="A2:B2"/>
    <mergeCell ref="C2:J2"/>
    <mergeCell ref="L2:Q2"/>
    <mergeCell ref="R2:U2"/>
    <mergeCell ref="W2:Z2"/>
  </mergeCells>
  <phoneticPr fontId="2"/>
  <pageMargins left="0.7" right="0.7" top="0.75" bottom="0.75" header="0.3" footer="0.3"/>
  <pageSetup paperSize="9" scale="55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3A6A-3380-462C-8060-ACF748A564B6}">
  <sheetPr>
    <pageSetUpPr fitToPage="1"/>
  </sheetPr>
  <dimension ref="A1:AL51"/>
  <sheetViews>
    <sheetView view="pageBreakPreview" zoomScaleNormal="100" zoomScaleSheetLayoutView="100" zoomScalePageLayoutView="75" workbookViewId="0">
      <selection sqref="A1:B1"/>
    </sheetView>
  </sheetViews>
  <sheetFormatPr defaultColWidth="3.69921875" defaultRowHeight="18"/>
  <cols>
    <col min="1" max="1" width="3.796875" style="1" customWidth="1"/>
    <col min="2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18" t="s">
        <v>18</v>
      </c>
      <c r="B1" s="18"/>
      <c r="C1" s="14" t="s">
        <v>61</v>
      </c>
      <c r="D1" s="14"/>
      <c r="E1" s="14"/>
      <c r="F1" s="14"/>
      <c r="G1" s="14"/>
      <c r="H1" s="14"/>
      <c r="I1" s="14"/>
      <c r="J1" s="14"/>
      <c r="L1" s="18" t="s">
        <v>23</v>
      </c>
      <c r="M1" s="18"/>
      <c r="N1" s="18"/>
      <c r="O1" s="18"/>
      <c r="P1" s="18"/>
      <c r="Q1" s="18"/>
      <c r="R1" s="18"/>
      <c r="S1" s="18"/>
      <c r="T1" s="18"/>
      <c r="U1" s="18"/>
      <c r="W1" s="18" t="s">
        <v>20</v>
      </c>
      <c r="X1" s="18"/>
      <c r="Y1" s="18"/>
      <c r="Z1" s="18"/>
      <c r="AA1" s="14" t="s">
        <v>63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>
      <c r="A2" s="18" t="s">
        <v>19</v>
      </c>
      <c r="B2" s="18"/>
      <c r="C2" s="14" t="s">
        <v>62</v>
      </c>
      <c r="D2" s="14"/>
      <c r="E2" s="14"/>
      <c r="F2" s="14"/>
      <c r="G2" s="14"/>
      <c r="H2" s="14"/>
      <c r="I2" s="14"/>
      <c r="J2" s="14"/>
      <c r="L2" s="14" t="s">
        <v>24</v>
      </c>
      <c r="M2" s="14"/>
      <c r="N2" s="14"/>
      <c r="O2" s="14"/>
      <c r="P2" s="14"/>
      <c r="Q2" s="14"/>
      <c r="R2" s="14" t="s">
        <v>25</v>
      </c>
      <c r="S2" s="14"/>
      <c r="T2" s="14"/>
      <c r="U2" s="14"/>
      <c r="W2" s="18" t="s">
        <v>21</v>
      </c>
      <c r="X2" s="18"/>
      <c r="Y2" s="18"/>
      <c r="Z2" s="18"/>
      <c r="AA2" s="14" t="s">
        <v>64</v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>
      <c r="L3" s="14"/>
      <c r="M3" s="14"/>
      <c r="N3" s="14"/>
      <c r="O3" s="14"/>
      <c r="P3" s="14"/>
      <c r="Q3" s="14"/>
      <c r="R3" s="14"/>
      <c r="S3" s="14"/>
      <c r="T3" s="14"/>
      <c r="U3" s="14"/>
      <c r="W3" s="78" t="s">
        <v>22</v>
      </c>
      <c r="X3" s="79"/>
      <c r="Y3" s="79"/>
      <c r="Z3" s="80"/>
      <c r="AA3" s="14" t="s">
        <v>67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>
      <c r="W4" s="81"/>
      <c r="X4" s="82"/>
      <c r="Y4" s="82"/>
      <c r="Z4" s="83"/>
      <c r="AA4" s="14" t="s">
        <v>66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>
      <c r="W5" s="84"/>
      <c r="X5" s="85"/>
      <c r="Y5" s="85"/>
      <c r="Z5" s="86"/>
      <c r="AA5" s="14" t="s">
        <v>65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8" spans="1:38">
      <c r="A8" s="1" t="s">
        <v>75</v>
      </c>
      <c r="D8" s="20">
        <v>0.41666666666666669</v>
      </c>
      <c r="E8" s="20"/>
      <c r="F8" s="20"/>
    </row>
    <row r="9" spans="1:38" s="2" customFormat="1" ht="18.600000000000001" thickBot="1">
      <c r="A9" s="23"/>
      <c r="B9" s="23"/>
      <c r="C9" s="28">
        <f>D8</f>
        <v>0.41666666666666669</v>
      </c>
      <c r="D9" s="28"/>
      <c r="E9" s="28"/>
      <c r="F9" s="28"/>
      <c r="G9" s="28"/>
      <c r="H9" s="29"/>
      <c r="I9" s="27">
        <f>C9+'参照用（触らない）'!$A$2</f>
        <v>0.4375</v>
      </c>
      <c r="J9" s="28"/>
      <c r="K9" s="28"/>
      <c r="L9" s="28"/>
      <c r="M9" s="28"/>
      <c r="N9" s="28"/>
      <c r="O9" s="28">
        <f>C9+'参照用（触らない）'!$A$1</f>
        <v>0.45833333333333337</v>
      </c>
      <c r="P9" s="28"/>
      <c r="Q9" s="28"/>
      <c r="R9" s="28"/>
      <c r="S9" s="28"/>
      <c r="T9" s="29"/>
      <c r="U9" s="27">
        <f>O9+'参照用（触らない）'!$A$2</f>
        <v>0.47916666666666669</v>
      </c>
      <c r="V9" s="28"/>
      <c r="W9" s="28"/>
      <c r="X9" s="28"/>
      <c r="Y9" s="28"/>
      <c r="Z9" s="28"/>
      <c r="AA9" s="28">
        <f>O9+'参照用（触らない）'!$A$1</f>
        <v>0.5</v>
      </c>
      <c r="AB9" s="28"/>
      <c r="AC9" s="28"/>
      <c r="AD9" s="28"/>
      <c r="AE9" s="28"/>
      <c r="AF9" s="29"/>
      <c r="AG9" s="27">
        <f>AA9+'参照用（触らない）'!$A$2</f>
        <v>0.52083333333333337</v>
      </c>
      <c r="AH9" s="28"/>
      <c r="AI9" s="28"/>
      <c r="AJ9" s="28"/>
      <c r="AK9" s="28"/>
      <c r="AL9" s="28"/>
    </row>
    <row r="10" spans="1:38" ht="35.4" customHeight="1" thickTop="1">
      <c r="A10" s="19" t="s">
        <v>1</v>
      </c>
      <c r="B10" s="19"/>
      <c r="C10" s="107" t="s">
        <v>130</v>
      </c>
      <c r="D10" s="64"/>
      <c r="E10" s="64"/>
      <c r="F10" s="64"/>
      <c r="G10" s="64"/>
      <c r="H10" s="108"/>
      <c r="I10" s="63" t="s">
        <v>131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5"/>
      <c r="AA10" s="107" t="s">
        <v>26</v>
      </c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5"/>
    </row>
    <row r="11" spans="1:38" ht="35.4" customHeight="1">
      <c r="A11" s="18" t="s">
        <v>129</v>
      </c>
      <c r="B11" s="18"/>
      <c r="C11" s="40"/>
      <c r="D11" s="113"/>
      <c r="E11" s="113"/>
      <c r="F11" s="113"/>
      <c r="G11" s="113"/>
      <c r="H11" s="114"/>
      <c r="I11" s="115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6"/>
      <c r="AA11" s="40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6"/>
    </row>
    <row r="12" spans="1:38" ht="35.4" customHeight="1" thickBot="1">
      <c r="A12" s="24" t="s">
        <v>9</v>
      </c>
      <c r="B12" s="24"/>
      <c r="C12" s="100" t="s">
        <v>132</v>
      </c>
      <c r="D12" s="100"/>
      <c r="E12" s="100"/>
      <c r="F12" s="100"/>
      <c r="G12" s="100"/>
      <c r="H12" s="60"/>
      <c r="I12" s="117" t="s">
        <v>133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2"/>
      <c r="AA12" s="60" t="s">
        <v>26</v>
      </c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2"/>
    </row>
    <row r="13" spans="1:38" ht="57" customHeight="1" thickTop="1">
      <c r="A13" s="19" t="s">
        <v>17</v>
      </c>
      <c r="B13" s="19"/>
      <c r="C13" s="44" t="s">
        <v>123</v>
      </c>
      <c r="D13" s="44"/>
      <c r="E13" s="44"/>
      <c r="F13" s="44"/>
      <c r="G13" s="44"/>
      <c r="H13" s="45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2"/>
      <c r="U13" s="36"/>
      <c r="V13" s="37"/>
      <c r="W13" s="37"/>
      <c r="X13" s="37"/>
      <c r="Y13" s="37"/>
      <c r="Z13" s="38"/>
      <c r="AA13" s="44" t="s">
        <v>124</v>
      </c>
      <c r="AB13" s="44"/>
      <c r="AC13" s="44"/>
      <c r="AD13" s="44"/>
      <c r="AE13" s="44"/>
      <c r="AF13" s="45"/>
      <c r="AG13" s="21"/>
      <c r="AH13" s="22"/>
      <c r="AI13" s="22"/>
      <c r="AJ13" s="22"/>
      <c r="AK13" s="22"/>
      <c r="AL13" s="22"/>
    </row>
    <row r="19" spans="1:38" ht="18.600000000000001" thickBot="1">
      <c r="A19" s="23"/>
      <c r="B19" s="23"/>
      <c r="C19" s="28">
        <f>AA9+'参照用（触らない）'!$A$1</f>
        <v>0.54166666666666663</v>
      </c>
      <c r="D19" s="28"/>
      <c r="E19" s="28"/>
      <c r="F19" s="28"/>
      <c r="G19" s="28"/>
      <c r="H19" s="29"/>
      <c r="I19" s="27">
        <f>C19+'参照用（触らない）'!$A$2</f>
        <v>0.5625</v>
      </c>
      <c r="J19" s="28"/>
      <c r="K19" s="28"/>
      <c r="L19" s="28"/>
      <c r="M19" s="28"/>
      <c r="N19" s="28"/>
      <c r="O19" s="28">
        <f>C19+'参照用（触らない）'!$A$1</f>
        <v>0.58333333333333326</v>
      </c>
      <c r="P19" s="28"/>
      <c r="Q19" s="28"/>
      <c r="R19" s="28"/>
      <c r="S19" s="28"/>
      <c r="T19" s="29"/>
      <c r="U19" s="27">
        <f>O19+'参照用（触らない）'!$A$2</f>
        <v>0.60416666666666663</v>
      </c>
      <c r="V19" s="28"/>
      <c r="W19" s="28"/>
      <c r="X19" s="28"/>
      <c r="Y19" s="28"/>
      <c r="Z19" s="28"/>
      <c r="AA19" s="28">
        <f>O19+'参照用（触らない）'!$A$1</f>
        <v>0.62499999999999989</v>
      </c>
      <c r="AB19" s="28"/>
      <c r="AC19" s="28"/>
      <c r="AD19" s="28"/>
      <c r="AE19" s="28"/>
      <c r="AF19" s="29"/>
      <c r="AG19" s="27">
        <f>AA19+'参照用（触らない）'!$A$2</f>
        <v>0.64583333333333326</v>
      </c>
      <c r="AH19" s="28"/>
      <c r="AI19" s="28"/>
      <c r="AJ19" s="28"/>
      <c r="AK19" s="28"/>
      <c r="AL19" s="28"/>
    </row>
    <row r="20" spans="1:38" ht="35.4" customHeight="1" thickTop="1">
      <c r="A20" s="19" t="s">
        <v>1</v>
      </c>
      <c r="B20" s="19"/>
      <c r="C20" s="107" t="s">
        <v>131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5"/>
    </row>
    <row r="21" spans="1:38" ht="35.4" customHeight="1">
      <c r="A21" s="18" t="s">
        <v>134</v>
      </c>
      <c r="B21" s="18"/>
      <c r="C21" s="40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6"/>
    </row>
    <row r="22" spans="1:38" ht="35.4" customHeight="1" thickBot="1">
      <c r="A22" s="24" t="s">
        <v>9</v>
      </c>
      <c r="B22" s="24"/>
      <c r="C22" s="60" t="s">
        <v>135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2"/>
    </row>
    <row r="23" spans="1:38" ht="57" customHeight="1" thickTop="1">
      <c r="A23" s="19" t="s">
        <v>17</v>
      </c>
      <c r="B23" s="19"/>
      <c r="C23" s="44" t="s">
        <v>125</v>
      </c>
      <c r="D23" s="44"/>
      <c r="E23" s="44"/>
      <c r="F23" s="44"/>
      <c r="G23" s="44"/>
      <c r="H23" s="45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32"/>
      <c r="U23" s="51"/>
      <c r="V23" s="52"/>
      <c r="W23" s="52"/>
      <c r="X23" s="52"/>
      <c r="Y23" s="52"/>
      <c r="Z23" s="52"/>
      <c r="AA23" s="22"/>
      <c r="AB23" s="22"/>
      <c r="AC23" s="22"/>
      <c r="AD23" s="22"/>
      <c r="AE23" s="22"/>
      <c r="AF23" s="32"/>
      <c r="AG23" s="21"/>
      <c r="AH23" s="22"/>
      <c r="AI23" s="22"/>
      <c r="AJ23" s="22"/>
      <c r="AK23" s="22"/>
      <c r="AL23" s="22"/>
    </row>
    <row r="29" spans="1:38" ht="18.600000000000001" thickBot="1">
      <c r="A29" s="23"/>
      <c r="B29" s="23"/>
      <c r="C29" s="28">
        <f>AA19+'参照用（触らない）'!$A$1</f>
        <v>0.66666666666666652</v>
      </c>
      <c r="D29" s="28"/>
      <c r="E29" s="28"/>
      <c r="F29" s="28"/>
      <c r="G29" s="28"/>
      <c r="H29" s="29"/>
      <c r="I29" s="27">
        <f>C29+'参照用（触らない）'!$A$2</f>
        <v>0.68749999999999989</v>
      </c>
      <c r="J29" s="28"/>
      <c r="K29" s="28"/>
      <c r="L29" s="28"/>
      <c r="M29" s="28"/>
      <c r="N29" s="28"/>
      <c r="O29" s="28">
        <f>C29+'参照用（触らない）'!$A$1</f>
        <v>0.70833333333333315</v>
      </c>
      <c r="P29" s="28"/>
      <c r="Q29" s="28"/>
      <c r="R29" s="28"/>
      <c r="S29" s="28"/>
      <c r="T29" s="29"/>
      <c r="U29" s="27">
        <f>O29+'参照用（触らない）'!$A$2</f>
        <v>0.72916666666666652</v>
      </c>
      <c r="V29" s="28"/>
      <c r="W29" s="28"/>
      <c r="X29" s="28"/>
      <c r="Y29" s="28"/>
      <c r="Z29" s="28"/>
      <c r="AA29" s="28">
        <f>O29+'参照用（触らない）'!$A$1</f>
        <v>0.74999999999999978</v>
      </c>
      <c r="AB29" s="28"/>
      <c r="AC29" s="28"/>
      <c r="AD29" s="28"/>
      <c r="AE29" s="28"/>
      <c r="AF29" s="29"/>
      <c r="AG29" s="27">
        <f>AA29+'参照用（触らない）'!$A$2</f>
        <v>0.77083333333333315</v>
      </c>
      <c r="AH29" s="28"/>
      <c r="AI29" s="28"/>
      <c r="AJ29" s="28"/>
      <c r="AK29" s="28"/>
      <c r="AL29" s="28"/>
    </row>
    <row r="30" spans="1:38" ht="35.4" customHeight="1" thickTop="1">
      <c r="A30" s="19" t="s">
        <v>1</v>
      </c>
      <c r="B30" s="19"/>
      <c r="C30" s="107" t="s">
        <v>136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5"/>
      <c r="O30" s="107" t="s">
        <v>138</v>
      </c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5"/>
    </row>
    <row r="31" spans="1:38" ht="35.4" customHeight="1">
      <c r="A31" s="18" t="s">
        <v>129</v>
      </c>
      <c r="B31" s="18"/>
      <c r="C31" s="40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6"/>
      <c r="O31" s="109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68"/>
    </row>
    <row r="32" spans="1:38" ht="35.4" customHeight="1" thickBot="1">
      <c r="A32" s="24" t="s">
        <v>9</v>
      </c>
      <c r="B32" s="24"/>
      <c r="C32" s="60" t="s">
        <v>137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2"/>
      <c r="O32" s="43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1"/>
    </row>
    <row r="33" spans="1:38" ht="57" customHeight="1" thickTop="1">
      <c r="A33" s="19" t="s">
        <v>17</v>
      </c>
      <c r="B33" s="19"/>
      <c r="C33" s="54"/>
      <c r="D33" s="54"/>
      <c r="E33" s="54"/>
      <c r="F33" s="54"/>
      <c r="G33" s="54"/>
      <c r="H33" s="55"/>
      <c r="I33" s="21"/>
      <c r="J33" s="22"/>
      <c r="K33" s="22"/>
      <c r="L33" s="22"/>
      <c r="M33" s="22"/>
      <c r="N33" s="22"/>
      <c r="O33" s="54"/>
      <c r="P33" s="54"/>
      <c r="Q33" s="54"/>
      <c r="R33" s="54"/>
      <c r="S33" s="54"/>
      <c r="T33" s="55"/>
      <c r="U33" s="56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7"/>
      <c r="AG33" s="56" t="s">
        <v>126</v>
      </c>
      <c r="AH33" s="54"/>
      <c r="AI33" s="54"/>
      <c r="AJ33" s="54"/>
      <c r="AK33" s="54"/>
      <c r="AL33" s="54"/>
    </row>
    <row r="39" spans="1:38" ht="18.600000000000001" thickBot="1">
      <c r="A39" s="23"/>
      <c r="B39" s="23"/>
      <c r="C39" s="28">
        <f>AA29+'参照用（触らない）'!$A$1</f>
        <v>0.79166666666666641</v>
      </c>
      <c r="D39" s="28"/>
      <c r="E39" s="28"/>
      <c r="F39" s="28"/>
      <c r="G39" s="28"/>
      <c r="H39" s="29"/>
      <c r="I39" s="27">
        <f>C39+'参照用（触らない）'!$A$2</f>
        <v>0.81249999999999978</v>
      </c>
      <c r="J39" s="28"/>
      <c r="K39" s="28"/>
      <c r="L39" s="28"/>
      <c r="M39" s="28"/>
      <c r="N39" s="28"/>
      <c r="O39" s="28">
        <f>C39+'参照用（触らない）'!$A$1</f>
        <v>0.83333333333333304</v>
      </c>
      <c r="P39" s="28"/>
      <c r="Q39" s="28"/>
      <c r="R39" s="28"/>
      <c r="S39" s="28"/>
      <c r="T39" s="29"/>
      <c r="U39" s="27">
        <f>O39+'参照用（触らない）'!$A$2</f>
        <v>0.85416666666666641</v>
      </c>
      <c r="V39" s="28"/>
      <c r="W39" s="28"/>
      <c r="X39" s="28"/>
      <c r="Y39" s="28"/>
      <c r="Z39" s="28"/>
      <c r="AA39" s="28">
        <f>O39+'参照用（触らない）'!$A$1</f>
        <v>0.87499999999999967</v>
      </c>
      <c r="AB39" s="28"/>
      <c r="AC39" s="28"/>
      <c r="AD39" s="28"/>
      <c r="AE39" s="28"/>
      <c r="AF39" s="29"/>
      <c r="AG39" s="27">
        <f>AA39+'参照用（触らない）'!$A$2</f>
        <v>0.89583333333333304</v>
      </c>
      <c r="AH39" s="28"/>
      <c r="AI39" s="28"/>
      <c r="AJ39" s="28"/>
      <c r="AK39" s="28"/>
      <c r="AL39" s="28"/>
    </row>
    <row r="40" spans="1:38" ht="35.4" customHeight="1" thickTop="1">
      <c r="A40" s="19" t="s">
        <v>1</v>
      </c>
      <c r="B40" s="19"/>
      <c r="C40" s="107" t="s">
        <v>29</v>
      </c>
      <c r="D40" s="64"/>
      <c r="E40" s="64"/>
      <c r="F40" s="64"/>
      <c r="G40" s="64"/>
      <c r="H40" s="108"/>
      <c r="I40" s="63" t="s">
        <v>139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108"/>
      <c r="AG40" s="63" t="s">
        <v>32</v>
      </c>
      <c r="AH40" s="64"/>
      <c r="AI40" s="64"/>
      <c r="AJ40" s="64"/>
      <c r="AK40" s="64"/>
      <c r="AL40" s="65"/>
    </row>
    <row r="41" spans="1:38" ht="35.4" customHeight="1">
      <c r="A41" s="18" t="s">
        <v>134</v>
      </c>
      <c r="B41" s="18"/>
      <c r="C41" s="109"/>
      <c r="D41" s="118"/>
      <c r="E41" s="118"/>
      <c r="F41" s="118"/>
      <c r="G41" s="118"/>
      <c r="H41" s="110"/>
      <c r="I41" s="115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4"/>
      <c r="AG41" s="66"/>
      <c r="AH41" s="118"/>
      <c r="AI41" s="118"/>
      <c r="AJ41" s="118"/>
      <c r="AK41" s="118"/>
      <c r="AL41" s="68"/>
    </row>
    <row r="42" spans="1:38" ht="35.4" customHeight="1" thickBot="1">
      <c r="A42" s="24" t="s">
        <v>9</v>
      </c>
      <c r="B42" s="24"/>
      <c r="C42" s="43"/>
      <c r="D42" s="70"/>
      <c r="E42" s="70"/>
      <c r="F42" s="70"/>
      <c r="G42" s="70"/>
      <c r="H42" s="111"/>
      <c r="I42" s="117" t="s">
        <v>140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119"/>
      <c r="AG42" s="69"/>
      <c r="AH42" s="70"/>
      <c r="AI42" s="70"/>
      <c r="AJ42" s="70"/>
      <c r="AK42" s="70"/>
      <c r="AL42" s="71"/>
    </row>
    <row r="43" spans="1:38" ht="57" customHeight="1" thickTop="1">
      <c r="A43" s="19" t="s">
        <v>17</v>
      </c>
      <c r="B43" s="19"/>
      <c r="C43" s="54" t="s">
        <v>127</v>
      </c>
      <c r="D43" s="54"/>
      <c r="E43" s="54"/>
      <c r="F43" s="54"/>
      <c r="G43" s="54"/>
      <c r="H43" s="55"/>
      <c r="I43" s="102" t="s">
        <v>128</v>
      </c>
      <c r="J43" s="44"/>
      <c r="K43" s="44"/>
      <c r="L43" s="44"/>
      <c r="M43" s="44"/>
      <c r="N43" s="44"/>
      <c r="O43" s="54"/>
      <c r="P43" s="54"/>
      <c r="Q43" s="54"/>
      <c r="R43" s="54"/>
      <c r="S43" s="54"/>
      <c r="T43" s="55"/>
      <c r="U43" s="56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6" t="s">
        <v>128</v>
      </c>
      <c r="AH43" s="54"/>
      <c r="AI43" s="54"/>
      <c r="AJ43" s="54"/>
      <c r="AK43" s="54"/>
      <c r="AL43" s="54"/>
    </row>
    <row r="47" spans="1:38">
      <c r="A47" s="75" t="s">
        <v>1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7"/>
      <c r="O47" s="75" t="s">
        <v>28</v>
      </c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</row>
    <row r="48" spans="1:38">
      <c r="A48" s="14" t="str">
        <f>VLOOKUP('参照用（触らない）'!$B1,メンバー!$A$13:$I$17,2,FALSE)</f>
        <v>わざさん</v>
      </c>
      <c r="B48" s="14"/>
      <c r="C48" s="14"/>
      <c r="D48" s="14" t="str">
        <f>VLOOKUP('参照用（触らない）'!$B1,メンバー!$A$13:$I$17,7,FALSE)</f>
        <v>〇</v>
      </c>
      <c r="E48" s="14"/>
      <c r="F48" s="14"/>
      <c r="G48" s="15"/>
      <c r="H48" s="13"/>
      <c r="I48" s="14"/>
      <c r="J48" s="14"/>
      <c r="K48" s="14"/>
      <c r="L48" s="14"/>
      <c r="M48" s="14"/>
      <c r="N48" s="15"/>
      <c r="O48" s="13" t="str">
        <f>VLOOKUP('参照用（触らない）'!$B1,メンバー!$A$3:$I$11,3,FALSE)</f>
        <v>前原A僚太</v>
      </c>
      <c r="P48" s="14"/>
      <c r="Q48" s="14"/>
      <c r="R48" s="14" t="str">
        <f>VLOOKUP('参照用（触らない）'!$B1,メンバー!$A$3:$I$11,7,FALSE)</f>
        <v>〇</v>
      </c>
      <c r="S48" s="14"/>
      <c r="T48" s="14"/>
      <c r="U48" s="15"/>
      <c r="V48" s="13" t="str">
        <f>VLOOKUP('参照用（触らない）'!$B5,メンバー!$A$3:$I$11,3,FALSE)</f>
        <v>齋藤大輝</v>
      </c>
      <c r="W48" s="14"/>
      <c r="X48" s="14"/>
      <c r="Y48" s="15" t="str">
        <f>VLOOKUP('参照用（触らない）'!$B5,メンバー!$A$3:$I$11,7,FALSE)</f>
        <v>〇</v>
      </c>
      <c r="Z48" s="16"/>
      <c r="AA48" s="16"/>
      <c r="AB48" s="17"/>
    </row>
    <row r="49" spans="1:28">
      <c r="A49" s="14" t="str">
        <f>VLOOKUP('参照用（触らない）'!$B2,メンバー!$A$13:$I$17,2,FALSE)</f>
        <v>春田ひなの</v>
      </c>
      <c r="B49" s="14"/>
      <c r="C49" s="14"/>
      <c r="D49" s="14" t="str">
        <f>VLOOKUP('参照用（触らない）'!$B2,メンバー!$A$13:$I$17,7,FALSE)</f>
        <v>13～19※</v>
      </c>
      <c r="E49" s="14"/>
      <c r="F49" s="14"/>
      <c r="G49" s="15"/>
      <c r="H49" s="13"/>
      <c r="I49" s="14"/>
      <c r="J49" s="14"/>
      <c r="K49" s="14"/>
      <c r="L49" s="14"/>
      <c r="M49" s="14"/>
      <c r="N49" s="15"/>
      <c r="O49" s="13" t="str">
        <f>VLOOKUP('参照用（触らない）'!$B2,メンバー!$A$3:$I$11,3,FALSE)</f>
        <v>北風ゆうたろう</v>
      </c>
      <c r="P49" s="14"/>
      <c r="Q49" s="14"/>
      <c r="R49" s="14" t="str">
        <f>VLOOKUP('参照用（触らない）'!$B2,メンバー!$A$3:$I$11,7,FALSE)</f>
        <v>〇</v>
      </c>
      <c r="S49" s="14"/>
      <c r="T49" s="14"/>
      <c r="U49" s="15"/>
      <c r="V49" s="13" t="str">
        <f>VLOOKUP('参照用（触らない）'!$B6,メンバー!$A$3:$I$11,3,FALSE)</f>
        <v>岡田萌</v>
      </c>
      <c r="W49" s="14"/>
      <c r="X49" s="14"/>
      <c r="Y49" s="15" t="str">
        <f>VLOOKUP('参照用（触らない）'!$B6,メンバー!$A$3:$I$11,7,FALSE)</f>
        <v>18:30～</v>
      </c>
      <c r="Z49" s="16"/>
      <c r="AA49" s="16"/>
      <c r="AB49" s="17"/>
    </row>
    <row r="50" spans="1:28">
      <c r="A50" s="14" t="str">
        <f>VLOOKUP('参照用（触らない）'!$B3,メンバー!$A$13:$I$17,2,FALSE)</f>
        <v>すみほのか</v>
      </c>
      <c r="B50" s="14"/>
      <c r="C50" s="14"/>
      <c r="D50" s="14" t="str">
        <f>VLOOKUP('参照用（触らない）'!$B3,メンバー!$A$13:$I$17,7,FALSE)</f>
        <v>12～</v>
      </c>
      <c r="E50" s="14"/>
      <c r="F50" s="14"/>
      <c r="G50" s="15"/>
      <c r="H50" s="13"/>
      <c r="I50" s="14"/>
      <c r="J50" s="14"/>
      <c r="K50" s="14"/>
      <c r="L50" s="14"/>
      <c r="M50" s="14"/>
      <c r="N50" s="15"/>
      <c r="O50" s="13" t="str">
        <f>VLOOKUP('参照用（触らない）'!$B3,メンバー!$A$3:$I$11,3,FALSE)</f>
        <v>蒼樹とも</v>
      </c>
      <c r="P50" s="14"/>
      <c r="Q50" s="14"/>
      <c r="R50" s="14" t="str">
        <f>VLOOKUP('参照用（触らない）'!$B3,メンバー!$A$3:$I$11,7,FALSE)</f>
        <v>〇</v>
      </c>
      <c r="S50" s="14"/>
      <c r="T50" s="14"/>
      <c r="U50" s="15"/>
      <c r="V50" s="13" t="str">
        <f>VLOOKUP('参照用（触らない）'!$B7,メンバー!$A$3:$I$11,3,FALSE)</f>
        <v>葵</v>
      </c>
      <c r="W50" s="14"/>
      <c r="X50" s="14"/>
      <c r="Y50" s="15" t="str">
        <f>VLOOKUP('参照用（触らない）'!$B7,メンバー!$A$3:$I$11,7,FALSE)</f>
        <v>〇</v>
      </c>
      <c r="Z50" s="16"/>
      <c r="AA50" s="16"/>
      <c r="AB50" s="17"/>
    </row>
    <row r="51" spans="1:28">
      <c r="A51" s="14" t="str">
        <f>VLOOKUP('参照用（触らない）'!$B4,メンバー!$A$13:$I$17,2,FALSE)</f>
        <v>古川詠介</v>
      </c>
      <c r="B51" s="14"/>
      <c r="C51" s="14"/>
      <c r="D51" s="14" t="str">
        <f>VLOOKUP('参照用（触らない）'!$B4,メンバー!$A$13:$I$17,7,FALSE)</f>
        <v>12～</v>
      </c>
      <c r="E51" s="14"/>
      <c r="F51" s="14"/>
      <c r="G51" s="15"/>
      <c r="H51" s="13"/>
      <c r="I51" s="14"/>
      <c r="J51" s="14"/>
      <c r="K51" s="14"/>
      <c r="L51" s="14"/>
      <c r="M51" s="14"/>
      <c r="N51" s="15"/>
      <c r="O51" s="13" t="str">
        <f>VLOOKUP('参照用（触らない）'!$B4,メンバー!$A$3:$I$11,3,FALSE)</f>
        <v>N碕</v>
      </c>
      <c r="P51" s="14"/>
      <c r="Q51" s="14"/>
      <c r="R51" s="14" t="str">
        <f>VLOOKUP('参照用（触らない）'!$B4,メンバー!$A$3:$I$11,7,FALSE)</f>
        <v>〇</v>
      </c>
      <c r="S51" s="14"/>
      <c r="T51" s="14"/>
      <c r="U51" s="15"/>
      <c r="V51" s="13"/>
      <c r="W51" s="14"/>
      <c r="X51" s="14"/>
      <c r="Y51" s="14"/>
      <c r="Z51" s="14"/>
      <c r="AA51" s="14"/>
      <c r="AB51" s="14"/>
    </row>
  </sheetData>
  <mergeCells count="135">
    <mergeCell ref="I12:Z12"/>
    <mergeCell ref="AA12:AL12"/>
    <mergeCell ref="C20:AL21"/>
    <mergeCell ref="C22:AL22"/>
    <mergeCell ref="C30:N31"/>
    <mergeCell ref="C32:N32"/>
    <mergeCell ref="O30:AL32"/>
    <mergeCell ref="C40:H42"/>
    <mergeCell ref="I40:AF41"/>
    <mergeCell ref="I42:AF42"/>
    <mergeCell ref="AG40:AL42"/>
    <mergeCell ref="A41:B41"/>
    <mergeCell ref="AG39:AL39"/>
    <mergeCell ref="A40:B40"/>
    <mergeCell ref="AA39:AF39"/>
    <mergeCell ref="A32:B32"/>
    <mergeCell ref="A33:B33"/>
    <mergeCell ref="C33:H33"/>
    <mergeCell ref="I33:N33"/>
    <mergeCell ref="O33:T33"/>
    <mergeCell ref="U33:Z33"/>
    <mergeCell ref="AA33:AF33"/>
    <mergeCell ref="AG33:AL33"/>
    <mergeCell ref="AG29:AL29"/>
    <mergeCell ref="A51:C51"/>
    <mergeCell ref="D51:G51"/>
    <mergeCell ref="H51:J51"/>
    <mergeCell ref="K51:N51"/>
    <mergeCell ref="O51:Q51"/>
    <mergeCell ref="R51:U51"/>
    <mergeCell ref="V51:X51"/>
    <mergeCell ref="Y51:AB51"/>
    <mergeCell ref="A50:C50"/>
    <mergeCell ref="D50:G50"/>
    <mergeCell ref="H50:J50"/>
    <mergeCell ref="K50:N50"/>
    <mergeCell ref="O50:Q50"/>
    <mergeCell ref="R50:U50"/>
    <mergeCell ref="A49:C49"/>
    <mergeCell ref="D49:G49"/>
    <mergeCell ref="H49:J49"/>
    <mergeCell ref="K49:N49"/>
    <mergeCell ref="O49:Q49"/>
    <mergeCell ref="R49:U49"/>
    <mergeCell ref="V49:X49"/>
    <mergeCell ref="Y49:AB49"/>
    <mergeCell ref="V50:X50"/>
    <mergeCell ref="Y50:AB50"/>
    <mergeCell ref="AA43:AF43"/>
    <mergeCell ref="AG43:AL43"/>
    <mergeCell ref="A47:N47"/>
    <mergeCell ref="O47:AB47"/>
    <mergeCell ref="A48:C48"/>
    <mergeCell ref="D48:G48"/>
    <mergeCell ref="H48:J48"/>
    <mergeCell ref="K48:N48"/>
    <mergeCell ref="O48:Q48"/>
    <mergeCell ref="R48:U48"/>
    <mergeCell ref="V48:X48"/>
    <mergeCell ref="Y48:AB48"/>
    <mergeCell ref="A42:B42"/>
    <mergeCell ref="A43:B43"/>
    <mergeCell ref="C43:H43"/>
    <mergeCell ref="I43:N43"/>
    <mergeCell ref="O43:T43"/>
    <mergeCell ref="U43:Z43"/>
    <mergeCell ref="A39:B39"/>
    <mergeCell ref="C39:H39"/>
    <mergeCell ref="I39:N39"/>
    <mergeCell ref="O39:T39"/>
    <mergeCell ref="U39:Z39"/>
    <mergeCell ref="A30:B30"/>
    <mergeCell ref="A31:B31"/>
    <mergeCell ref="A29:B29"/>
    <mergeCell ref="C29:H29"/>
    <mergeCell ref="I29:N29"/>
    <mergeCell ref="O29:T29"/>
    <mergeCell ref="U29:Z29"/>
    <mergeCell ref="AA29:AF29"/>
    <mergeCell ref="A22:B22"/>
    <mergeCell ref="A23:B23"/>
    <mergeCell ref="C23:H23"/>
    <mergeCell ref="I23:N23"/>
    <mergeCell ref="O23:T23"/>
    <mergeCell ref="U23:Z23"/>
    <mergeCell ref="AA23:AF23"/>
    <mergeCell ref="AG23:AL23"/>
    <mergeCell ref="A20:B20"/>
    <mergeCell ref="A21:B21"/>
    <mergeCell ref="AG13:AL13"/>
    <mergeCell ref="A19:B19"/>
    <mergeCell ref="C19:H19"/>
    <mergeCell ref="I19:N19"/>
    <mergeCell ref="O19:T19"/>
    <mergeCell ref="U19:Z19"/>
    <mergeCell ref="AA19:AF19"/>
    <mergeCell ref="AG19:AL19"/>
    <mergeCell ref="A13:B13"/>
    <mergeCell ref="C13:H13"/>
    <mergeCell ref="I13:N13"/>
    <mergeCell ref="O13:T13"/>
    <mergeCell ref="U13:Z13"/>
    <mergeCell ref="AA13:AF13"/>
    <mergeCell ref="A10:B10"/>
    <mergeCell ref="A12:B12"/>
    <mergeCell ref="C12:H12"/>
    <mergeCell ref="A11:B11"/>
    <mergeCell ref="C10:H11"/>
    <mergeCell ref="I10:Z11"/>
    <mergeCell ref="AA10:AL11"/>
    <mergeCell ref="D8:F8"/>
    <mergeCell ref="A9:B9"/>
    <mergeCell ref="C9:H9"/>
    <mergeCell ref="I9:N9"/>
    <mergeCell ref="O9:T9"/>
    <mergeCell ref="U9:Z9"/>
    <mergeCell ref="AA2:AL2"/>
    <mergeCell ref="L3:Q3"/>
    <mergeCell ref="R3:U3"/>
    <mergeCell ref="AA3:AL3"/>
    <mergeCell ref="AA4:AL4"/>
    <mergeCell ref="W3:Z5"/>
    <mergeCell ref="AA5:AL5"/>
    <mergeCell ref="AA9:AF9"/>
    <mergeCell ref="AG9:AL9"/>
    <mergeCell ref="A1:B1"/>
    <mergeCell ref="C1:J1"/>
    <mergeCell ref="L1:U1"/>
    <mergeCell ref="W1:Z1"/>
    <mergeCell ref="AA1:AL1"/>
    <mergeCell ref="A2:B2"/>
    <mergeCell ref="C2:J2"/>
    <mergeCell ref="L2:Q2"/>
    <mergeCell ref="R2:U2"/>
    <mergeCell ref="W2:Z2"/>
  </mergeCells>
  <phoneticPr fontId="2"/>
  <pageMargins left="0.7" right="0.7" top="0.75" bottom="0.75" header="0.3" footer="0.3"/>
  <pageSetup paperSize="9" scale="55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4DBC-164B-4207-885F-6BA37EA17020}">
  <sheetPr>
    <pageSetUpPr fitToPage="1"/>
  </sheetPr>
  <dimension ref="A1:AL51"/>
  <sheetViews>
    <sheetView view="pageBreakPreview" zoomScaleNormal="100" zoomScaleSheetLayoutView="100" zoomScalePageLayoutView="75" workbookViewId="0">
      <selection sqref="A1:B1"/>
    </sheetView>
  </sheetViews>
  <sheetFormatPr defaultColWidth="3.69921875" defaultRowHeight="18"/>
  <cols>
    <col min="1" max="1" width="3.796875" style="1" customWidth="1"/>
    <col min="2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18" t="s">
        <v>18</v>
      </c>
      <c r="B1" s="18"/>
      <c r="C1" s="14" t="s">
        <v>61</v>
      </c>
      <c r="D1" s="14"/>
      <c r="E1" s="14"/>
      <c r="F1" s="14"/>
      <c r="G1" s="14"/>
      <c r="H1" s="14"/>
      <c r="I1" s="14"/>
      <c r="J1" s="14"/>
      <c r="L1" s="18" t="s">
        <v>23</v>
      </c>
      <c r="M1" s="18"/>
      <c r="N1" s="18"/>
      <c r="O1" s="18"/>
      <c r="P1" s="18"/>
      <c r="Q1" s="18"/>
      <c r="R1" s="18"/>
      <c r="S1" s="18"/>
      <c r="T1" s="18"/>
      <c r="U1" s="18"/>
      <c r="W1" s="18" t="s">
        <v>20</v>
      </c>
      <c r="X1" s="18"/>
      <c r="Y1" s="18"/>
      <c r="Z1" s="18"/>
      <c r="AA1" s="14" t="s">
        <v>63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>
      <c r="A2" s="18" t="s">
        <v>19</v>
      </c>
      <c r="B2" s="18"/>
      <c r="C2" s="14" t="s">
        <v>62</v>
      </c>
      <c r="D2" s="14"/>
      <c r="E2" s="14"/>
      <c r="F2" s="14"/>
      <c r="G2" s="14"/>
      <c r="H2" s="14"/>
      <c r="I2" s="14"/>
      <c r="J2" s="14"/>
      <c r="L2" s="14" t="s">
        <v>24</v>
      </c>
      <c r="M2" s="14"/>
      <c r="N2" s="14"/>
      <c r="O2" s="14"/>
      <c r="P2" s="14"/>
      <c r="Q2" s="14"/>
      <c r="R2" s="14" t="s">
        <v>25</v>
      </c>
      <c r="S2" s="14"/>
      <c r="T2" s="14"/>
      <c r="U2" s="14"/>
      <c r="W2" s="18" t="s">
        <v>21</v>
      </c>
      <c r="X2" s="18"/>
      <c r="Y2" s="18"/>
      <c r="Z2" s="18"/>
      <c r="AA2" s="14" t="s">
        <v>64</v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>
      <c r="L3" s="14"/>
      <c r="M3" s="14"/>
      <c r="N3" s="14"/>
      <c r="O3" s="14"/>
      <c r="P3" s="14"/>
      <c r="Q3" s="14"/>
      <c r="R3" s="14"/>
      <c r="S3" s="14"/>
      <c r="T3" s="14"/>
      <c r="U3" s="14"/>
      <c r="W3" s="78" t="s">
        <v>22</v>
      </c>
      <c r="X3" s="79"/>
      <c r="Y3" s="79"/>
      <c r="Z3" s="80"/>
      <c r="AA3" s="14" t="s">
        <v>67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>
      <c r="W4" s="81"/>
      <c r="X4" s="82"/>
      <c r="Y4" s="82"/>
      <c r="Z4" s="83"/>
      <c r="AA4" s="14" t="s">
        <v>66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>
      <c r="W5" s="84"/>
      <c r="X5" s="85"/>
      <c r="Y5" s="85"/>
      <c r="Z5" s="86"/>
      <c r="AA5" s="14" t="s">
        <v>65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8" spans="1:38">
      <c r="A8" s="1" t="s">
        <v>74</v>
      </c>
      <c r="D8" s="20">
        <v>0.41666666666666669</v>
      </c>
      <c r="E8" s="20"/>
      <c r="F8" s="20"/>
    </row>
    <row r="9" spans="1:38" s="2" customFormat="1" ht="18.600000000000001" thickBot="1">
      <c r="A9" s="23"/>
      <c r="B9" s="23"/>
      <c r="C9" s="28">
        <f>D8</f>
        <v>0.41666666666666669</v>
      </c>
      <c r="D9" s="28"/>
      <c r="E9" s="28"/>
      <c r="F9" s="28"/>
      <c r="G9" s="28"/>
      <c r="H9" s="29"/>
      <c r="I9" s="27">
        <f>C9+'参照用（触らない）'!$A$2</f>
        <v>0.4375</v>
      </c>
      <c r="J9" s="28"/>
      <c r="K9" s="28"/>
      <c r="L9" s="28"/>
      <c r="M9" s="28"/>
      <c r="N9" s="28"/>
      <c r="O9" s="28">
        <f>C9+'参照用（触らない）'!$A$1</f>
        <v>0.45833333333333337</v>
      </c>
      <c r="P9" s="28"/>
      <c r="Q9" s="28"/>
      <c r="R9" s="28"/>
      <c r="S9" s="28"/>
      <c r="T9" s="29"/>
      <c r="U9" s="27">
        <f>O9+'参照用（触らない）'!$A$2</f>
        <v>0.47916666666666669</v>
      </c>
      <c r="V9" s="28"/>
      <c r="W9" s="28"/>
      <c r="X9" s="28"/>
      <c r="Y9" s="28"/>
      <c r="Z9" s="28"/>
      <c r="AA9" s="28">
        <f>O9+'参照用（触らない）'!$A$1</f>
        <v>0.5</v>
      </c>
      <c r="AB9" s="28"/>
      <c r="AC9" s="28"/>
      <c r="AD9" s="28"/>
      <c r="AE9" s="28"/>
      <c r="AF9" s="29"/>
      <c r="AG9" s="27">
        <f>AA9+'参照用（触らない）'!$A$2</f>
        <v>0.52083333333333337</v>
      </c>
      <c r="AH9" s="28"/>
      <c r="AI9" s="28"/>
      <c r="AJ9" s="28"/>
      <c r="AK9" s="28"/>
      <c r="AL9" s="28"/>
    </row>
    <row r="10" spans="1:38" ht="35.4" customHeight="1" thickTop="1">
      <c r="A10" s="19" t="s">
        <v>1</v>
      </c>
      <c r="B10" s="19"/>
      <c r="C10" s="63" t="s">
        <v>58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108"/>
      <c r="O10" s="107" t="s">
        <v>72</v>
      </c>
      <c r="P10" s="64"/>
      <c r="Q10" s="64"/>
      <c r="R10" s="64"/>
      <c r="S10" s="64"/>
      <c r="T10" s="108"/>
      <c r="U10" s="63" t="s">
        <v>30</v>
      </c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5"/>
    </row>
    <row r="11" spans="1:38" ht="35.4" customHeight="1">
      <c r="A11" s="18" t="s">
        <v>27</v>
      </c>
      <c r="B11" s="18"/>
      <c r="C11" s="66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110"/>
      <c r="O11" s="109"/>
      <c r="P11" s="67"/>
      <c r="Q11" s="67"/>
      <c r="R11" s="67"/>
      <c r="S11" s="67"/>
      <c r="T11" s="110"/>
      <c r="U11" s="66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8"/>
    </row>
    <row r="12" spans="1:38" ht="35.4" customHeight="1" thickBot="1">
      <c r="A12" s="24" t="s">
        <v>28</v>
      </c>
      <c r="B12" s="24"/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11"/>
      <c r="O12" s="43"/>
      <c r="P12" s="70"/>
      <c r="Q12" s="70"/>
      <c r="R12" s="70"/>
      <c r="S12" s="70"/>
      <c r="T12" s="111"/>
      <c r="U12" s="69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1"/>
    </row>
    <row r="13" spans="1:38" ht="57" customHeight="1" thickTop="1">
      <c r="A13" s="19" t="s">
        <v>17</v>
      </c>
      <c r="B13" s="19"/>
      <c r="C13" s="44"/>
      <c r="D13" s="44"/>
      <c r="E13" s="44"/>
      <c r="F13" s="44"/>
      <c r="G13" s="44"/>
      <c r="H13" s="45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2"/>
      <c r="U13" s="36"/>
      <c r="V13" s="37"/>
      <c r="W13" s="37"/>
      <c r="X13" s="37"/>
      <c r="Y13" s="37"/>
      <c r="Z13" s="38"/>
      <c r="AA13" s="22"/>
      <c r="AB13" s="22"/>
      <c r="AC13" s="22"/>
      <c r="AD13" s="22"/>
      <c r="AE13" s="22"/>
      <c r="AF13" s="32"/>
      <c r="AG13" s="21"/>
      <c r="AH13" s="22"/>
      <c r="AI13" s="22"/>
      <c r="AJ13" s="22"/>
      <c r="AK13" s="22"/>
      <c r="AL13" s="22"/>
    </row>
    <row r="19" spans="1:38" ht="18.600000000000001" thickBot="1">
      <c r="A19" s="23"/>
      <c r="B19" s="23"/>
      <c r="C19" s="28">
        <f>AA9+'参照用（触らない）'!$A$1</f>
        <v>0.54166666666666663</v>
      </c>
      <c r="D19" s="28"/>
      <c r="E19" s="28"/>
      <c r="F19" s="28"/>
      <c r="G19" s="28"/>
      <c r="H19" s="29"/>
      <c r="I19" s="27">
        <f>C19+'参照用（触らない）'!$A$2</f>
        <v>0.5625</v>
      </c>
      <c r="J19" s="28"/>
      <c r="K19" s="28"/>
      <c r="L19" s="28"/>
      <c r="M19" s="28"/>
      <c r="N19" s="28"/>
      <c r="O19" s="28">
        <f>C19+'参照用（触らない）'!$A$1</f>
        <v>0.58333333333333326</v>
      </c>
      <c r="P19" s="28"/>
      <c r="Q19" s="28"/>
      <c r="R19" s="28"/>
      <c r="S19" s="28"/>
      <c r="T19" s="29"/>
      <c r="U19" s="27">
        <f>O19+'参照用（触らない）'!$A$2</f>
        <v>0.60416666666666663</v>
      </c>
      <c r="V19" s="28"/>
      <c r="W19" s="28"/>
      <c r="X19" s="28"/>
      <c r="Y19" s="28"/>
      <c r="Z19" s="28"/>
      <c r="AA19" s="28">
        <f>O19+'参照用（触らない）'!$A$1</f>
        <v>0.62499999999999989</v>
      </c>
      <c r="AB19" s="28"/>
      <c r="AC19" s="28"/>
      <c r="AD19" s="28"/>
      <c r="AE19" s="28"/>
      <c r="AF19" s="29"/>
      <c r="AG19" s="27">
        <f>AA19+'参照用（触らない）'!$A$2</f>
        <v>0.64583333333333326</v>
      </c>
      <c r="AH19" s="28"/>
      <c r="AI19" s="28"/>
      <c r="AJ19" s="28"/>
      <c r="AK19" s="28"/>
      <c r="AL19" s="28"/>
    </row>
    <row r="20" spans="1:38" ht="35.4" customHeight="1" thickTop="1">
      <c r="A20" s="19" t="s">
        <v>1</v>
      </c>
      <c r="B20" s="19"/>
      <c r="C20" s="107" t="s">
        <v>35</v>
      </c>
      <c r="D20" s="64"/>
      <c r="E20" s="64"/>
      <c r="F20" s="64"/>
      <c r="G20" s="64"/>
      <c r="H20" s="64"/>
      <c r="I20" s="64" t="s">
        <v>56</v>
      </c>
      <c r="J20" s="64"/>
      <c r="K20" s="64"/>
      <c r="L20" s="64"/>
      <c r="M20" s="64"/>
      <c r="N20" s="65"/>
      <c r="O20" s="64" t="s">
        <v>70</v>
      </c>
      <c r="P20" s="64"/>
      <c r="Q20" s="64"/>
      <c r="R20" s="64"/>
      <c r="S20" s="64"/>
      <c r="T20" s="65"/>
      <c r="U20" s="64" t="s">
        <v>69</v>
      </c>
      <c r="V20" s="64"/>
      <c r="W20" s="64"/>
      <c r="X20" s="64"/>
      <c r="Y20" s="64"/>
      <c r="Z20" s="65"/>
      <c r="AA20" s="107" t="s">
        <v>31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5"/>
    </row>
    <row r="21" spans="1:38" ht="35.4" customHeight="1">
      <c r="A21" s="18" t="s">
        <v>27</v>
      </c>
      <c r="B21" s="18"/>
      <c r="C21" s="109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8"/>
      <c r="O21" s="67"/>
      <c r="P21" s="67"/>
      <c r="Q21" s="67"/>
      <c r="R21" s="67"/>
      <c r="S21" s="67"/>
      <c r="T21" s="68"/>
      <c r="U21" s="67"/>
      <c r="V21" s="67"/>
      <c r="W21" s="67"/>
      <c r="X21" s="67"/>
      <c r="Y21" s="67"/>
      <c r="Z21" s="68"/>
      <c r="AA21" s="109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8"/>
    </row>
    <row r="22" spans="1:38" ht="35.4" customHeight="1" thickBot="1">
      <c r="A22" s="24" t="s">
        <v>28</v>
      </c>
      <c r="B22" s="24"/>
      <c r="C22" s="43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1"/>
      <c r="O22" s="70"/>
      <c r="P22" s="70"/>
      <c r="Q22" s="70"/>
      <c r="R22" s="70"/>
      <c r="S22" s="70"/>
      <c r="T22" s="71"/>
      <c r="U22" s="70"/>
      <c r="V22" s="70"/>
      <c r="W22" s="70"/>
      <c r="X22" s="70"/>
      <c r="Y22" s="70"/>
      <c r="Z22" s="71"/>
      <c r="AA22" s="43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1"/>
    </row>
    <row r="23" spans="1:38" ht="57" customHeight="1" thickTop="1">
      <c r="A23" s="19" t="s">
        <v>17</v>
      </c>
      <c r="B23" s="19"/>
      <c r="C23" s="44"/>
      <c r="D23" s="44"/>
      <c r="E23" s="44"/>
      <c r="F23" s="44"/>
      <c r="G23" s="44"/>
      <c r="H23" s="45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32"/>
      <c r="U23" s="51"/>
      <c r="V23" s="52"/>
      <c r="W23" s="52"/>
      <c r="X23" s="52"/>
      <c r="Y23" s="52"/>
      <c r="Z23" s="52"/>
      <c r="AA23" s="22"/>
      <c r="AB23" s="22"/>
      <c r="AC23" s="22"/>
      <c r="AD23" s="22"/>
      <c r="AE23" s="22"/>
      <c r="AF23" s="32"/>
      <c r="AG23" s="21"/>
      <c r="AH23" s="22"/>
      <c r="AI23" s="22"/>
      <c r="AJ23" s="22"/>
      <c r="AK23" s="22"/>
      <c r="AL23" s="22"/>
    </row>
    <row r="29" spans="1:38" ht="18.600000000000001" thickBot="1">
      <c r="A29" s="23"/>
      <c r="B29" s="23"/>
      <c r="C29" s="28">
        <f>AA19+'参照用（触らない）'!$A$1</f>
        <v>0.66666666666666652</v>
      </c>
      <c r="D29" s="28"/>
      <c r="E29" s="28"/>
      <c r="F29" s="28"/>
      <c r="G29" s="28"/>
      <c r="H29" s="29"/>
      <c r="I29" s="27">
        <f>C29+'参照用（触らない）'!$A$2</f>
        <v>0.68749999999999989</v>
      </c>
      <c r="J29" s="28"/>
      <c r="K29" s="28"/>
      <c r="L29" s="28"/>
      <c r="M29" s="28"/>
      <c r="N29" s="28"/>
      <c r="O29" s="28">
        <f>C29+'参照用（触らない）'!$A$1</f>
        <v>0.70833333333333315</v>
      </c>
      <c r="P29" s="28"/>
      <c r="Q29" s="28"/>
      <c r="R29" s="28"/>
      <c r="S29" s="28"/>
      <c r="T29" s="29"/>
      <c r="U29" s="27">
        <f>O29+'参照用（触らない）'!$A$2</f>
        <v>0.72916666666666652</v>
      </c>
      <c r="V29" s="28"/>
      <c r="W29" s="28"/>
      <c r="X29" s="28"/>
      <c r="Y29" s="28"/>
      <c r="Z29" s="28"/>
      <c r="AA29" s="28">
        <f>O29+'参照用（触らない）'!$A$1</f>
        <v>0.74999999999999978</v>
      </c>
      <c r="AB29" s="28"/>
      <c r="AC29" s="28"/>
      <c r="AD29" s="28"/>
      <c r="AE29" s="28"/>
      <c r="AF29" s="29"/>
      <c r="AG29" s="27">
        <f>AA29+'参照用（触らない）'!$A$2</f>
        <v>0.77083333333333315</v>
      </c>
      <c r="AH29" s="28"/>
      <c r="AI29" s="28"/>
      <c r="AJ29" s="28"/>
      <c r="AK29" s="28"/>
      <c r="AL29" s="28"/>
    </row>
    <row r="30" spans="1:38" ht="35.4" customHeight="1" thickTop="1">
      <c r="A30" s="19" t="s">
        <v>1</v>
      </c>
      <c r="B30" s="19"/>
      <c r="C30" s="107" t="s">
        <v>31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5"/>
      <c r="O30" s="107" t="s">
        <v>52</v>
      </c>
      <c r="P30" s="64"/>
      <c r="Q30" s="64"/>
      <c r="R30" s="64"/>
      <c r="S30" s="64"/>
      <c r="T30" s="108"/>
      <c r="U30" s="64" t="s">
        <v>71</v>
      </c>
      <c r="V30" s="64"/>
      <c r="W30" s="64"/>
      <c r="X30" s="64"/>
      <c r="Y30" s="64"/>
      <c r="Z30" s="65"/>
      <c r="AA30" s="64" t="s">
        <v>68</v>
      </c>
      <c r="AB30" s="64"/>
      <c r="AC30" s="64"/>
      <c r="AD30" s="64"/>
      <c r="AE30" s="64"/>
      <c r="AF30" s="65"/>
      <c r="AG30" s="107" t="s">
        <v>34</v>
      </c>
      <c r="AH30" s="64"/>
      <c r="AI30" s="64"/>
      <c r="AJ30" s="64"/>
      <c r="AK30" s="64"/>
      <c r="AL30" s="64"/>
    </row>
    <row r="31" spans="1:38" ht="35.4" customHeight="1">
      <c r="A31" s="18" t="s">
        <v>27</v>
      </c>
      <c r="B31" s="18"/>
      <c r="C31" s="109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8"/>
      <c r="O31" s="109"/>
      <c r="P31" s="67"/>
      <c r="Q31" s="67"/>
      <c r="R31" s="67"/>
      <c r="S31" s="67"/>
      <c r="T31" s="110"/>
      <c r="U31" s="67"/>
      <c r="V31" s="67"/>
      <c r="W31" s="67"/>
      <c r="X31" s="67"/>
      <c r="Y31" s="67"/>
      <c r="Z31" s="68"/>
      <c r="AA31" s="67"/>
      <c r="AB31" s="67"/>
      <c r="AC31" s="67"/>
      <c r="AD31" s="67"/>
      <c r="AE31" s="67"/>
      <c r="AF31" s="68"/>
      <c r="AG31" s="109"/>
      <c r="AH31" s="67"/>
      <c r="AI31" s="67"/>
      <c r="AJ31" s="67"/>
      <c r="AK31" s="67"/>
      <c r="AL31" s="67"/>
    </row>
    <row r="32" spans="1:38" ht="35.4" customHeight="1" thickBot="1">
      <c r="A32" s="24" t="s">
        <v>28</v>
      </c>
      <c r="B32" s="24"/>
      <c r="C32" s="43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1"/>
      <c r="O32" s="43"/>
      <c r="P32" s="70"/>
      <c r="Q32" s="70"/>
      <c r="R32" s="70"/>
      <c r="S32" s="70"/>
      <c r="T32" s="111"/>
      <c r="U32" s="70"/>
      <c r="V32" s="70"/>
      <c r="W32" s="70"/>
      <c r="X32" s="70"/>
      <c r="Y32" s="70"/>
      <c r="Z32" s="71"/>
      <c r="AA32" s="70"/>
      <c r="AB32" s="70"/>
      <c r="AC32" s="70"/>
      <c r="AD32" s="70"/>
      <c r="AE32" s="70"/>
      <c r="AF32" s="71"/>
      <c r="AG32" s="43"/>
      <c r="AH32" s="70"/>
      <c r="AI32" s="70"/>
      <c r="AJ32" s="70"/>
      <c r="AK32" s="70"/>
      <c r="AL32" s="70"/>
    </row>
    <row r="33" spans="1:38" ht="57" customHeight="1" thickTop="1">
      <c r="A33" s="19" t="s">
        <v>17</v>
      </c>
      <c r="B33" s="19"/>
      <c r="C33" s="54"/>
      <c r="D33" s="54"/>
      <c r="E33" s="54"/>
      <c r="F33" s="54"/>
      <c r="G33" s="54"/>
      <c r="H33" s="55"/>
      <c r="I33" s="21"/>
      <c r="J33" s="22"/>
      <c r="K33" s="22"/>
      <c r="L33" s="22"/>
      <c r="M33" s="22"/>
      <c r="N33" s="22"/>
      <c r="O33" s="54"/>
      <c r="P33" s="54"/>
      <c r="Q33" s="54"/>
      <c r="R33" s="54"/>
      <c r="S33" s="54"/>
      <c r="T33" s="55"/>
      <c r="U33" s="56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7"/>
      <c r="AG33" s="56"/>
      <c r="AH33" s="54"/>
      <c r="AI33" s="54"/>
      <c r="AJ33" s="54"/>
      <c r="AK33" s="54"/>
      <c r="AL33" s="54"/>
    </row>
    <row r="39" spans="1:38" ht="18.600000000000001" thickBot="1">
      <c r="A39" s="23"/>
      <c r="B39" s="23"/>
      <c r="C39" s="28">
        <f>AA29+'参照用（触らない）'!$A$1</f>
        <v>0.79166666666666641</v>
      </c>
      <c r="D39" s="28"/>
      <c r="E39" s="28"/>
      <c r="F39" s="28"/>
      <c r="G39" s="28"/>
      <c r="H39" s="29"/>
      <c r="I39" s="27">
        <f>C39+'参照用（触らない）'!$A$2</f>
        <v>0.81249999999999978</v>
      </c>
      <c r="J39" s="28"/>
      <c r="K39" s="28"/>
      <c r="L39" s="28"/>
      <c r="M39" s="28"/>
      <c r="N39" s="28"/>
      <c r="O39" s="28">
        <f>C39+'参照用（触らない）'!$A$1</f>
        <v>0.83333333333333304</v>
      </c>
      <c r="P39" s="28"/>
      <c r="Q39" s="28"/>
      <c r="R39" s="28"/>
      <c r="S39" s="28"/>
      <c r="T39" s="29"/>
      <c r="U39" s="27">
        <f>O39+'参照用（触らない）'!$A$2</f>
        <v>0.85416666666666641</v>
      </c>
      <c r="V39" s="28"/>
      <c r="W39" s="28"/>
      <c r="X39" s="28"/>
      <c r="Y39" s="28"/>
      <c r="Z39" s="28"/>
      <c r="AA39" s="28">
        <f>O39+'参照用（触らない）'!$A$1</f>
        <v>0.87499999999999967</v>
      </c>
      <c r="AB39" s="28"/>
      <c r="AC39" s="28"/>
      <c r="AD39" s="28"/>
      <c r="AE39" s="28"/>
      <c r="AF39" s="29"/>
      <c r="AG39" s="27">
        <f>AA39+'参照用（触らない）'!$A$2</f>
        <v>0.89583333333333304</v>
      </c>
      <c r="AH39" s="28"/>
      <c r="AI39" s="28"/>
      <c r="AJ39" s="28"/>
      <c r="AK39" s="28"/>
      <c r="AL39" s="28"/>
    </row>
    <row r="40" spans="1:38" ht="35.4" customHeight="1" thickTop="1">
      <c r="A40" s="19" t="s">
        <v>1</v>
      </c>
      <c r="B40" s="19"/>
      <c r="C40" s="63" t="s">
        <v>34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5"/>
      <c r="U40" s="107" t="s">
        <v>52</v>
      </c>
      <c r="V40" s="64"/>
      <c r="W40" s="64"/>
      <c r="X40" s="64"/>
      <c r="Y40" s="64"/>
      <c r="Z40" s="108"/>
      <c r="AA40" s="64" t="s">
        <v>29</v>
      </c>
      <c r="AB40" s="64"/>
      <c r="AC40" s="64"/>
      <c r="AD40" s="64"/>
      <c r="AE40" s="64"/>
      <c r="AF40" s="64"/>
      <c r="AG40" s="63" t="s">
        <v>73</v>
      </c>
      <c r="AH40" s="64"/>
      <c r="AI40" s="64"/>
      <c r="AJ40" s="64"/>
      <c r="AK40" s="64"/>
      <c r="AL40" s="65"/>
    </row>
    <row r="41" spans="1:38" ht="35.4" customHeight="1">
      <c r="A41" s="18" t="s">
        <v>27</v>
      </c>
      <c r="B41" s="18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8"/>
      <c r="U41" s="109"/>
      <c r="V41" s="67"/>
      <c r="W41" s="67"/>
      <c r="X41" s="67"/>
      <c r="Y41" s="67"/>
      <c r="Z41" s="110"/>
      <c r="AA41" s="67"/>
      <c r="AB41" s="67"/>
      <c r="AC41" s="67"/>
      <c r="AD41" s="67"/>
      <c r="AE41" s="67"/>
      <c r="AF41" s="67"/>
      <c r="AG41" s="66"/>
      <c r="AH41" s="67"/>
      <c r="AI41" s="67"/>
      <c r="AJ41" s="67"/>
      <c r="AK41" s="67"/>
      <c r="AL41" s="68"/>
    </row>
    <row r="42" spans="1:38" ht="35.4" customHeight="1" thickBot="1">
      <c r="A42" s="24" t="s">
        <v>28</v>
      </c>
      <c r="B42" s="24"/>
      <c r="C42" s="69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1"/>
      <c r="U42" s="43"/>
      <c r="V42" s="70"/>
      <c r="W42" s="70"/>
      <c r="X42" s="70"/>
      <c r="Y42" s="70"/>
      <c r="Z42" s="111"/>
      <c r="AA42" s="70"/>
      <c r="AB42" s="70"/>
      <c r="AC42" s="70"/>
      <c r="AD42" s="70"/>
      <c r="AE42" s="70"/>
      <c r="AF42" s="70"/>
      <c r="AG42" s="69"/>
      <c r="AH42" s="70"/>
      <c r="AI42" s="70"/>
      <c r="AJ42" s="70"/>
      <c r="AK42" s="70"/>
      <c r="AL42" s="71"/>
    </row>
    <row r="43" spans="1:38" ht="57" customHeight="1" thickTop="1">
      <c r="A43" s="19" t="s">
        <v>17</v>
      </c>
      <c r="B43" s="19"/>
      <c r="C43" s="54"/>
      <c r="D43" s="54"/>
      <c r="E43" s="54"/>
      <c r="F43" s="54"/>
      <c r="G43" s="54"/>
      <c r="H43" s="55"/>
      <c r="I43" s="51"/>
      <c r="J43" s="52"/>
      <c r="K43" s="52"/>
      <c r="L43" s="52"/>
      <c r="M43" s="52"/>
      <c r="N43" s="52"/>
      <c r="O43" s="54"/>
      <c r="P43" s="54"/>
      <c r="Q43" s="54"/>
      <c r="R43" s="54"/>
      <c r="S43" s="54"/>
      <c r="T43" s="55"/>
      <c r="U43" s="56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6"/>
      <c r="AH43" s="54"/>
      <c r="AI43" s="54"/>
      <c r="AJ43" s="54"/>
      <c r="AK43" s="54"/>
      <c r="AL43" s="54"/>
    </row>
    <row r="47" spans="1:38">
      <c r="A47" s="75" t="s">
        <v>1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7"/>
      <c r="O47" s="75" t="s">
        <v>28</v>
      </c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</row>
    <row r="48" spans="1:38">
      <c r="A48" s="14" t="str">
        <f>VLOOKUP('参照用（触らない）'!$B1,メンバー!$A$13:$I$17,2,FALSE)</f>
        <v>わざさん</v>
      </c>
      <c r="B48" s="14"/>
      <c r="C48" s="14"/>
      <c r="D48" s="14" t="str">
        <f>VLOOKUP('参照用（触らない）'!$B1,メンバー!$A$13:$I$17,8,FALSE)</f>
        <v>〇</v>
      </c>
      <c r="E48" s="14"/>
      <c r="F48" s="14"/>
      <c r="G48" s="15"/>
      <c r="H48" s="13"/>
      <c r="I48" s="14"/>
      <c r="J48" s="14"/>
      <c r="K48" s="14"/>
      <c r="L48" s="14"/>
      <c r="M48" s="14"/>
      <c r="N48" s="15"/>
      <c r="O48" s="13" t="str">
        <f>VLOOKUP('参照用（触らない）'!$B1,メンバー!$A$3:$I$11,3,FALSE)</f>
        <v>前原A僚太</v>
      </c>
      <c r="P48" s="14"/>
      <c r="Q48" s="14"/>
      <c r="R48" s="14" t="str">
        <f>VLOOKUP('参照用（触らない）'!$B1,メンバー!$A$3:$I$11,8,FALSE)</f>
        <v>〇</v>
      </c>
      <c r="S48" s="14"/>
      <c r="T48" s="14"/>
      <c r="U48" s="15"/>
      <c r="V48" s="13" t="str">
        <f>VLOOKUP('参照用（触らない）'!$B5,メンバー!$A$3:$I$11,3,FALSE)</f>
        <v>齋藤大輝</v>
      </c>
      <c r="W48" s="14"/>
      <c r="X48" s="14"/>
      <c r="Y48" s="15" t="str">
        <f>VLOOKUP('参照用（触らない）'!$B5,メンバー!$A$3:$I$11,8,FALSE)</f>
        <v>〇</v>
      </c>
      <c r="Z48" s="16"/>
      <c r="AA48" s="16"/>
      <c r="AB48" s="17"/>
    </row>
    <row r="49" spans="1:28">
      <c r="A49" s="14" t="str">
        <f>VLOOKUP('参照用（触らない）'!$B2,メンバー!$A$13:$I$17,2,FALSE)</f>
        <v>春田ひなの</v>
      </c>
      <c r="B49" s="14"/>
      <c r="C49" s="14"/>
      <c r="D49" s="14" t="str">
        <f>VLOOKUP('参照用（触らない）'!$B2,メンバー!$A$13:$I$17,8,FALSE)</f>
        <v>〇</v>
      </c>
      <c r="E49" s="14"/>
      <c r="F49" s="14"/>
      <c r="G49" s="15"/>
      <c r="H49" s="13"/>
      <c r="I49" s="14"/>
      <c r="J49" s="14"/>
      <c r="K49" s="14"/>
      <c r="L49" s="14"/>
      <c r="M49" s="14"/>
      <c r="N49" s="15"/>
      <c r="O49" s="13" t="str">
        <f>VLOOKUP('参照用（触らない）'!$B2,メンバー!$A$3:$I$11,3,FALSE)</f>
        <v>北風ゆうたろう</v>
      </c>
      <c r="P49" s="14"/>
      <c r="Q49" s="14"/>
      <c r="R49" s="14" t="str">
        <f>VLOOKUP('参照用（触らない）'!$B2,メンバー!$A$3:$I$11,8,FALSE)</f>
        <v>〇</v>
      </c>
      <c r="S49" s="14"/>
      <c r="T49" s="14"/>
      <c r="U49" s="15"/>
      <c r="V49" s="13" t="str">
        <f>VLOOKUP('参照用（触らない）'!$B6,メンバー!$A$3:$I$11,3,FALSE)</f>
        <v>岡田萌</v>
      </c>
      <c r="W49" s="14"/>
      <c r="X49" s="14"/>
      <c r="Y49" s="15" t="str">
        <f>VLOOKUP('参照用（触らない）'!$B6,メンバー!$A$3:$I$11,8,FALSE)</f>
        <v>〇</v>
      </c>
      <c r="Z49" s="16"/>
      <c r="AA49" s="16"/>
      <c r="AB49" s="17"/>
    </row>
    <row r="50" spans="1:28">
      <c r="A50" s="14" t="str">
        <f>VLOOKUP('参照用（触らない）'!$B3,メンバー!$A$13:$I$17,2,FALSE)</f>
        <v>すみほのか</v>
      </c>
      <c r="B50" s="14"/>
      <c r="C50" s="14"/>
      <c r="D50" s="14" t="str">
        <f>VLOOKUP('参照用（触らない）'!$B3,メンバー!$A$13:$I$17,8,FALSE)</f>
        <v>〇</v>
      </c>
      <c r="E50" s="14"/>
      <c r="F50" s="14"/>
      <c r="G50" s="15"/>
      <c r="H50" s="13"/>
      <c r="I50" s="14"/>
      <c r="J50" s="14"/>
      <c r="K50" s="14"/>
      <c r="L50" s="14"/>
      <c r="M50" s="14"/>
      <c r="N50" s="15"/>
      <c r="O50" s="13" t="str">
        <f>VLOOKUP('参照用（触らない）'!$B3,メンバー!$A$3:$I$11,3,FALSE)</f>
        <v>蒼樹とも</v>
      </c>
      <c r="P50" s="14"/>
      <c r="Q50" s="14"/>
      <c r="R50" s="14" t="str">
        <f>VLOOKUP('参照用（触らない）'!$B3,メンバー!$A$3:$I$11,8,FALSE)</f>
        <v>〇</v>
      </c>
      <c r="S50" s="14"/>
      <c r="T50" s="14"/>
      <c r="U50" s="15"/>
      <c r="V50" s="13" t="str">
        <f>VLOOKUP('参照用（触らない）'!$B7,メンバー!$A$3:$I$11,3,FALSE)</f>
        <v>葵</v>
      </c>
      <c r="W50" s="14"/>
      <c r="X50" s="14"/>
      <c r="Y50" s="15" t="str">
        <f>VLOOKUP('参照用（触らない）'!$B7,メンバー!$A$3:$I$11,8,FALSE)</f>
        <v>〇</v>
      </c>
      <c r="Z50" s="16"/>
      <c r="AA50" s="16"/>
      <c r="AB50" s="17"/>
    </row>
    <row r="51" spans="1:28">
      <c r="A51" s="14" t="str">
        <f>VLOOKUP('参照用（触らない）'!$B4,メンバー!$A$13:$I$17,2,FALSE)</f>
        <v>古川詠介</v>
      </c>
      <c r="B51" s="14"/>
      <c r="C51" s="14"/>
      <c r="D51" s="14" t="str">
        <f>VLOOKUP('参照用（触らない）'!$B4,メンバー!$A$13:$I$17,8,FALSE)</f>
        <v>〇</v>
      </c>
      <c r="E51" s="14"/>
      <c r="F51" s="14"/>
      <c r="G51" s="15"/>
      <c r="H51" s="13"/>
      <c r="I51" s="14"/>
      <c r="J51" s="14"/>
      <c r="K51" s="14"/>
      <c r="L51" s="14"/>
      <c r="M51" s="14"/>
      <c r="N51" s="15"/>
      <c r="O51" s="13" t="str">
        <f>VLOOKUP('参照用（触らない）'!$B4,メンバー!$A$3:$I$11,3,FALSE)</f>
        <v>N碕</v>
      </c>
      <c r="P51" s="14"/>
      <c r="Q51" s="14"/>
      <c r="R51" s="14" t="str">
        <f>VLOOKUP('参照用（触らない）'!$B4,メンバー!$A$3:$I$11,8,FALSE)</f>
        <v>〇</v>
      </c>
      <c r="S51" s="14"/>
      <c r="T51" s="14"/>
      <c r="U51" s="15"/>
      <c r="V51" s="13"/>
      <c r="W51" s="14"/>
      <c r="X51" s="14"/>
      <c r="Y51" s="14"/>
      <c r="Z51" s="14"/>
      <c r="AA51" s="14"/>
      <c r="AB51" s="14"/>
    </row>
  </sheetData>
  <mergeCells count="137">
    <mergeCell ref="V50:X50"/>
    <mergeCell ref="Y50:AB50"/>
    <mergeCell ref="A51:C51"/>
    <mergeCell ref="D51:G51"/>
    <mergeCell ref="H51:J51"/>
    <mergeCell ref="K51:N51"/>
    <mergeCell ref="O51:Q51"/>
    <mergeCell ref="R51:U51"/>
    <mergeCell ref="V51:X51"/>
    <mergeCell ref="Y51:AB51"/>
    <mergeCell ref="A50:C50"/>
    <mergeCell ref="D50:G50"/>
    <mergeCell ref="H50:J50"/>
    <mergeCell ref="K50:N50"/>
    <mergeCell ref="O50:Q50"/>
    <mergeCell ref="R50:U50"/>
    <mergeCell ref="A47:N47"/>
    <mergeCell ref="O47:AB47"/>
    <mergeCell ref="A48:C48"/>
    <mergeCell ref="D48:G48"/>
    <mergeCell ref="H48:J48"/>
    <mergeCell ref="K48:N48"/>
    <mergeCell ref="O48:Q48"/>
    <mergeCell ref="R48:U48"/>
    <mergeCell ref="A49:C49"/>
    <mergeCell ref="D49:G49"/>
    <mergeCell ref="H49:J49"/>
    <mergeCell ref="K49:N49"/>
    <mergeCell ref="O49:Q49"/>
    <mergeCell ref="R49:U49"/>
    <mergeCell ref="V49:X49"/>
    <mergeCell ref="Y49:AB49"/>
    <mergeCell ref="V48:X48"/>
    <mergeCell ref="Y48:AB48"/>
    <mergeCell ref="AG39:AL39"/>
    <mergeCell ref="A40:B40"/>
    <mergeCell ref="AG40:AL42"/>
    <mergeCell ref="A42:B42"/>
    <mergeCell ref="A43:B43"/>
    <mergeCell ref="C43:H43"/>
    <mergeCell ref="I43:N43"/>
    <mergeCell ref="O43:T43"/>
    <mergeCell ref="U43:Z43"/>
    <mergeCell ref="A39:B39"/>
    <mergeCell ref="C39:H39"/>
    <mergeCell ref="I39:N39"/>
    <mergeCell ref="O39:T39"/>
    <mergeCell ref="U39:Z39"/>
    <mergeCell ref="AA39:AF39"/>
    <mergeCell ref="AG43:AL43"/>
    <mergeCell ref="AA43:AF43"/>
    <mergeCell ref="A41:B41"/>
    <mergeCell ref="C40:T42"/>
    <mergeCell ref="U40:Z42"/>
    <mergeCell ref="AA40:AF42"/>
    <mergeCell ref="A32:B32"/>
    <mergeCell ref="A33:B33"/>
    <mergeCell ref="C33:H33"/>
    <mergeCell ref="I33:N33"/>
    <mergeCell ref="O33:T33"/>
    <mergeCell ref="U33:Z33"/>
    <mergeCell ref="AA33:AF33"/>
    <mergeCell ref="AG33:AL33"/>
    <mergeCell ref="AG29:AL29"/>
    <mergeCell ref="A30:B30"/>
    <mergeCell ref="O30:T32"/>
    <mergeCell ref="A31:B31"/>
    <mergeCell ref="A29:B29"/>
    <mergeCell ref="C29:H29"/>
    <mergeCell ref="I29:N29"/>
    <mergeCell ref="O29:T29"/>
    <mergeCell ref="U29:Z29"/>
    <mergeCell ref="AA29:AF29"/>
    <mergeCell ref="AG30:AL32"/>
    <mergeCell ref="AA30:AF32"/>
    <mergeCell ref="C30:N32"/>
    <mergeCell ref="U30:Z32"/>
    <mergeCell ref="A22:B22"/>
    <mergeCell ref="A23:B23"/>
    <mergeCell ref="C23:H23"/>
    <mergeCell ref="I23:N23"/>
    <mergeCell ref="O23:T23"/>
    <mergeCell ref="U23:Z23"/>
    <mergeCell ref="AA23:AF23"/>
    <mergeCell ref="AG23:AL23"/>
    <mergeCell ref="A20:B20"/>
    <mergeCell ref="A21:B21"/>
    <mergeCell ref="U20:Z22"/>
    <mergeCell ref="AA20:AL22"/>
    <mergeCell ref="C20:H22"/>
    <mergeCell ref="I20:N22"/>
    <mergeCell ref="O20:T22"/>
    <mergeCell ref="A19:B19"/>
    <mergeCell ref="C19:H19"/>
    <mergeCell ref="I19:N19"/>
    <mergeCell ref="O19:T19"/>
    <mergeCell ref="U19:Z19"/>
    <mergeCell ref="AA19:AF19"/>
    <mergeCell ref="AG19:AL19"/>
    <mergeCell ref="A13:B13"/>
    <mergeCell ref="C13:H13"/>
    <mergeCell ref="I13:N13"/>
    <mergeCell ref="O13:T13"/>
    <mergeCell ref="U13:Z13"/>
    <mergeCell ref="AA13:AF13"/>
    <mergeCell ref="AG13:AL13"/>
    <mergeCell ref="A12:B12"/>
    <mergeCell ref="A11:B11"/>
    <mergeCell ref="AA9:AF9"/>
    <mergeCell ref="AG9:AL9"/>
    <mergeCell ref="A10:B10"/>
    <mergeCell ref="D8:F8"/>
    <mergeCell ref="A9:B9"/>
    <mergeCell ref="C9:H9"/>
    <mergeCell ref="I9:N9"/>
    <mergeCell ref="O9:T9"/>
    <mergeCell ref="U9:Z9"/>
    <mergeCell ref="O10:T12"/>
    <mergeCell ref="U10:AL12"/>
    <mergeCell ref="C10:N12"/>
    <mergeCell ref="AA2:AL2"/>
    <mergeCell ref="L3:Q3"/>
    <mergeCell ref="R3:U3"/>
    <mergeCell ref="AA3:AL3"/>
    <mergeCell ref="AA4:AL4"/>
    <mergeCell ref="W3:Z5"/>
    <mergeCell ref="AA5:AL5"/>
    <mergeCell ref="A1:B1"/>
    <mergeCell ref="C1:J1"/>
    <mergeCell ref="L1:U1"/>
    <mergeCell ref="W1:Z1"/>
    <mergeCell ref="AA1:AL1"/>
    <mergeCell ref="A2:B2"/>
    <mergeCell ref="C2:J2"/>
    <mergeCell ref="L2:Q2"/>
    <mergeCell ref="R2:U2"/>
    <mergeCell ref="W2:Z2"/>
  </mergeCells>
  <phoneticPr fontId="2"/>
  <pageMargins left="0.7" right="0.7" top="0.75" bottom="0.75" header="0.3" footer="0.3"/>
  <pageSetup paperSize="9" scale="55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6DB7-81EA-4429-82D9-621ABB15F244}">
  <sheetPr>
    <pageSetUpPr fitToPage="1"/>
  </sheetPr>
  <dimension ref="A1:AL51"/>
  <sheetViews>
    <sheetView view="pageBreakPreview" zoomScaleNormal="100" zoomScaleSheetLayoutView="100" zoomScalePageLayoutView="75" workbookViewId="0">
      <selection sqref="A1:B1"/>
    </sheetView>
  </sheetViews>
  <sheetFormatPr defaultColWidth="3.69921875" defaultRowHeight="18"/>
  <cols>
    <col min="1" max="1" width="3.796875" style="1" customWidth="1"/>
    <col min="2" max="3" width="3.69921875" style="1" customWidth="1"/>
    <col min="4" max="4" width="3.69921875" style="1"/>
    <col min="5" max="5" width="3.69921875" style="1" customWidth="1"/>
    <col min="6" max="14" width="3.69921875" style="1"/>
    <col min="15" max="15" width="3.69921875" style="1" customWidth="1"/>
    <col min="16" max="16384" width="3.69921875" style="1"/>
  </cols>
  <sheetData>
    <row r="1" spans="1:38">
      <c r="A1" s="18" t="s">
        <v>18</v>
      </c>
      <c r="B1" s="18"/>
      <c r="C1" s="14" t="s">
        <v>61</v>
      </c>
      <c r="D1" s="14"/>
      <c r="E1" s="14"/>
      <c r="F1" s="14"/>
      <c r="G1" s="14"/>
      <c r="H1" s="14"/>
      <c r="I1" s="14"/>
      <c r="J1" s="14"/>
      <c r="L1" s="18" t="s">
        <v>23</v>
      </c>
      <c r="M1" s="18"/>
      <c r="N1" s="18"/>
      <c r="O1" s="18"/>
      <c r="P1" s="18"/>
      <c r="Q1" s="18"/>
      <c r="R1" s="18"/>
      <c r="S1" s="18"/>
      <c r="T1" s="18"/>
      <c r="U1" s="18"/>
      <c r="W1" s="18" t="s">
        <v>20</v>
      </c>
      <c r="X1" s="18"/>
      <c r="Y1" s="18"/>
      <c r="Z1" s="18"/>
      <c r="AA1" s="14" t="s">
        <v>63</v>
      </c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>
      <c r="A2" s="18" t="s">
        <v>19</v>
      </c>
      <c r="B2" s="18"/>
      <c r="C2" s="14" t="s">
        <v>62</v>
      </c>
      <c r="D2" s="14"/>
      <c r="E2" s="14"/>
      <c r="F2" s="14"/>
      <c r="G2" s="14"/>
      <c r="H2" s="14"/>
      <c r="I2" s="14"/>
      <c r="J2" s="14"/>
      <c r="L2" s="14" t="s">
        <v>24</v>
      </c>
      <c r="M2" s="14"/>
      <c r="N2" s="14"/>
      <c r="O2" s="14"/>
      <c r="P2" s="14"/>
      <c r="Q2" s="14"/>
      <c r="R2" s="14" t="s">
        <v>25</v>
      </c>
      <c r="S2" s="14"/>
      <c r="T2" s="14"/>
      <c r="U2" s="14"/>
      <c r="W2" s="18" t="s">
        <v>21</v>
      </c>
      <c r="X2" s="18"/>
      <c r="Y2" s="18"/>
      <c r="Z2" s="18"/>
      <c r="AA2" s="14" t="s">
        <v>64</v>
      </c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>
      <c r="L3" s="14"/>
      <c r="M3" s="14"/>
      <c r="N3" s="14"/>
      <c r="O3" s="14"/>
      <c r="P3" s="14"/>
      <c r="Q3" s="14"/>
      <c r="R3" s="14"/>
      <c r="S3" s="14"/>
      <c r="T3" s="14"/>
      <c r="U3" s="14"/>
      <c r="W3" s="78" t="s">
        <v>22</v>
      </c>
      <c r="X3" s="79"/>
      <c r="Y3" s="79"/>
      <c r="Z3" s="80"/>
      <c r="AA3" s="14" t="s">
        <v>67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>
      <c r="W4" s="81"/>
      <c r="X4" s="82"/>
      <c r="Y4" s="82"/>
      <c r="Z4" s="83"/>
      <c r="AA4" s="14" t="s">
        <v>66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>
      <c r="W5" s="84"/>
      <c r="X5" s="85"/>
      <c r="Y5" s="85"/>
      <c r="Z5" s="86"/>
      <c r="AA5" s="14" t="s">
        <v>65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8" spans="1:38">
      <c r="A8" s="1" t="s">
        <v>60</v>
      </c>
      <c r="D8" s="20">
        <v>0.41666666666666669</v>
      </c>
      <c r="E8" s="20"/>
      <c r="F8" s="20"/>
    </row>
    <row r="9" spans="1:38" s="2" customFormat="1" ht="18.600000000000001" thickBot="1">
      <c r="A9" s="23"/>
      <c r="B9" s="23"/>
      <c r="C9" s="28">
        <f>D8</f>
        <v>0.41666666666666669</v>
      </c>
      <c r="D9" s="28"/>
      <c r="E9" s="28"/>
      <c r="F9" s="28"/>
      <c r="G9" s="28"/>
      <c r="H9" s="29"/>
      <c r="I9" s="27">
        <f>C9+'参照用（触らない）'!$A$2</f>
        <v>0.4375</v>
      </c>
      <c r="J9" s="28"/>
      <c r="K9" s="28"/>
      <c r="L9" s="28"/>
      <c r="M9" s="28"/>
      <c r="N9" s="28"/>
      <c r="O9" s="28">
        <f>C9+'参照用（触らない）'!$A$1</f>
        <v>0.45833333333333337</v>
      </c>
      <c r="P9" s="28"/>
      <c r="Q9" s="28"/>
      <c r="R9" s="28"/>
      <c r="S9" s="28"/>
      <c r="T9" s="29"/>
      <c r="U9" s="27">
        <f>O9+'参照用（触らない）'!$A$2</f>
        <v>0.47916666666666669</v>
      </c>
      <c r="V9" s="28"/>
      <c r="W9" s="28"/>
      <c r="X9" s="28"/>
      <c r="Y9" s="28"/>
      <c r="Z9" s="28"/>
      <c r="AA9" s="28">
        <f>O9+'参照用（触らない）'!$A$1</f>
        <v>0.5</v>
      </c>
      <c r="AB9" s="28"/>
      <c r="AC9" s="28"/>
      <c r="AD9" s="28"/>
      <c r="AE9" s="28"/>
      <c r="AF9" s="29"/>
      <c r="AG9" s="27">
        <f>AA9+'参照用（触らない）'!$A$2</f>
        <v>0.52083333333333337</v>
      </c>
      <c r="AH9" s="28"/>
      <c r="AI9" s="28"/>
      <c r="AJ9" s="28"/>
      <c r="AK9" s="28"/>
      <c r="AL9" s="28"/>
    </row>
    <row r="10" spans="1:38" ht="35.4" customHeight="1" thickTop="1">
      <c r="A10" s="19" t="s">
        <v>1</v>
      </c>
      <c r="B10" s="19"/>
      <c r="C10" s="63" t="s">
        <v>58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108"/>
      <c r="O10" s="107" t="s">
        <v>57</v>
      </c>
      <c r="P10" s="64"/>
      <c r="Q10" s="64"/>
      <c r="R10" s="64"/>
      <c r="S10" s="64"/>
      <c r="T10" s="108"/>
      <c r="U10" s="63" t="s">
        <v>35</v>
      </c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5"/>
    </row>
    <row r="11" spans="1:38" ht="35.4" customHeight="1">
      <c r="A11" s="18" t="s">
        <v>27</v>
      </c>
      <c r="B11" s="18"/>
      <c r="C11" s="66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110"/>
      <c r="O11" s="109"/>
      <c r="P11" s="67"/>
      <c r="Q11" s="67"/>
      <c r="R11" s="67"/>
      <c r="S11" s="67"/>
      <c r="T11" s="110"/>
      <c r="U11" s="66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8"/>
    </row>
    <row r="12" spans="1:38" ht="35.4" customHeight="1" thickBot="1">
      <c r="A12" s="24" t="s">
        <v>28</v>
      </c>
      <c r="B12" s="24"/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11"/>
      <c r="O12" s="43"/>
      <c r="P12" s="70"/>
      <c r="Q12" s="70"/>
      <c r="R12" s="70"/>
      <c r="S12" s="70"/>
      <c r="T12" s="111"/>
      <c r="U12" s="69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1"/>
    </row>
    <row r="13" spans="1:38" ht="57" customHeight="1" thickTop="1">
      <c r="A13" s="19" t="s">
        <v>17</v>
      </c>
      <c r="B13" s="19"/>
      <c r="C13" s="44"/>
      <c r="D13" s="44"/>
      <c r="E13" s="44"/>
      <c r="F13" s="44"/>
      <c r="G13" s="44"/>
      <c r="H13" s="45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32"/>
      <c r="U13" s="36"/>
      <c r="V13" s="37"/>
      <c r="W13" s="37"/>
      <c r="X13" s="37"/>
      <c r="Y13" s="37"/>
      <c r="Z13" s="38"/>
      <c r="AA13" s="22"/>
      <c r="AB13" s="22"/>
      <c r="AC13" s="22"/>
      <c r="AD13" s="22"/>
      <c r="AE13" s="22"/>
      <c r="AF13" s="32"/>
      <c r="AG13" s="21"/>
      <c r="AH13" s="22"/>
      <c r="AI13" s="22"/>
      <c r="AJ13" s="22"/>
      <c r="AK13" s="22"/>
      <c r="AL13" s="22"/>
    </row>
    <row r="19" spans="1:38" ht="18.600000000000001" thickBot="1">
      <c r="A19" s="23"/>
      <c r="B19" s="23"/>
      <c r="C19" s="28">
        <f>AA9+'参照用（触らない）'!$A$1</f>
        <v>0.54166666666666663</v>
      </c>
      <c r="D19" s="28"/>
      <c r="E19" s="28"/>
      <c r="F19" s="28"/>
      <c r="G19" s="28"/>
      <c r="H19" s="29"/>
      <c r="I19" s="27">
        <f>C19+'参照用（触らない）'!$A$2</f>
        <v>0.5625</v>
      </c>
      <c r="J19" s="28"/>
      <c r="K19" s="28"/>
      <c r="L19" s="28"/>
      <c r="M19" s="28"/>
      <c r="N19" s="28"/>
      <c r="O19" s="28">
        <f>C19+'参照用（触らない）'!$A$1</f>
        <v>0.58333333333333326</v>
      </c>
      <c r="P19" s="28"/>
      <c r="Q19" s="28"/>
      <c r="R19" s="28"/>
      <c r="S19" s="28"/>
      <c r="T19" s="29"/>
      <c r="U19" s="27">
        <f>O19+'参照用（触らない）'!$A$2</f>
        <v>0.60416666666666663</v>
      </c>
      <c r="V19" s="28"/>
      <c r="W19" s="28"/>
      <c r="X19" s="28"/>
      <c r="Y19" s="28"/>
      <c r="Z19" s="28"/>
      <c r="AA19" s="28">
        <f>O19+'参照用（触らない）'!$A$1</f>
        <v>0.62499999999999989</v>
      </c>
      <c r="AB19" s="28"/>
      <c r="AC19" s="28"/>
      <c r="AD19" s="28"/>
      <c r="AE19" s="28"/>
      <c r="AF19" s="29"/>
      <c r="AG19" s="27">
        <f>AA19+'参照用（触らない）'!$A$2</f>
        <v>0.64583333333333326</v>
      </c>
      <c r="AH19" s="28"/>
      <c r="AI19" s="28"/>
      <c r="AJ19" s="28"/>
      <c r="AK19" s="28"/>
      <c r="AL19" s="28"/>
    </row>
    <row r="20" spans="1:38" ht="35.4" customHeight="1" thickTop="1">
      <c r="A20" s="19" t="s">
        <v>1</v>
      </c>
      <c r="B20" s="19"/>
      <c r="C20" s="107" t="s">
        <v>35</v>
      </c>
      <c r="D20" s="64"/>
      <c r="E20" s="64"/>
      <c r="F20" s="64"/>
      <c r="G20" s="64"/>
      <c r="H20" s="64"/>
      <c r="I20" s="64" t="s">
        <v>56</v>
      </c>
      <c r="J20" s="64"/>
      <c r="K20" s="64"/>
      <c r="L20" s="64"/>
      <c r="M20" s="64"/>
      <c r="N20" s="65"/>
      <c r="O20" s="64" t="s">
        <v>59</v>
      </c>
      <c r="P20" s="64"/>
      <c r="Q20" s="64"/>
      <c r="R20" s="64"/>
      <c r="S20" s="64"/>
      <c r="T20" s="65"/>
      <c r="U20" s="64" t="s">
        <v>55</v>
      </c>
      <c r="V20" s="64"/>
      <c r="W20" s="64"/>
      <c r="X20" s="64"/>
      <c r="Y20" s="64"/>
      <c r="Z20" s="65"/>
      <c r="AA20" s="107" t="s">
        <v>54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5"/>
    </row>
    <row r="21" spans="1:38" ht="35.4" customHeight="1">
      <c r="A21" s="18" t="s">
        <v>27</v>
      </c>
      <c r="B21" s="18"/>
      <c r="C21" s="109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8"/>
      <c r="O21" s="67"/>
      <c r="P21" s="67"/>
      <c r="Q21" s="67"/>
      <c r="R21" s="67"/>
      <c r="S21" s="67"/>
      <c r="T21" s="68"/>
      <c r="U21" s="67"/>
      <c r="V21" s="67"/>
      <c r="W21" s="67"/>
      <c r="X21" s="67"/>
      <c r="Y21" s="67"/>
      <c r="Z21" s="68"/>
      <c r="AA21" s="109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8"/>
    </row>
    <row r="22" spans="1:38" ht="35.4" customHeight="1" thickBot="1">
      <c r="A22" s="24" t="s">
        <v>28</v>
      </c>
      <c r="B22" s="24"/>
      <c r="C22" s="43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1"/>
      <c r="O22" s="70"/>
      <c r="P22" s="70"/>
      <c r="Q22" s="70"/>
      <c r="R22" s="70"/>
      <c r="S22" s="70"/>
      <c r="T22" s="71"/>
      <c r="U22" s="70"/>
      <c r="V22" s="70"/>
      <c r="W22" s="70"/>
      <c r="X22" s="70"/>
      <c r="Y22" s="70"/>
      <c r="Z22" s="71"/>
      <c r="AA22" s="43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1"/>
    </row>
    <row r="23" spans="1:38" ht="57" customHeight="1" thickTop="1">
      <c r="A23" s="19" t="s">
        <v>17</v>
      </c>
      <c r="B23" s="19"/>
      <c r="C23" s="44"/>
      <c r="D23" s="44"/>
      <c r="E23" s="44"/>
      <c r="F23" s="44"/>
      <c r="G23" s="44"/>
      <c r="H23" s="45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32"/>
      <c r="U23" s="51"/>
      <c r="V23" s="52"/>
      <c r="W23" s="52"/>
      <c r="X23" s="52"/>
      <c r="Y23" s="52"/>
      <c r="Z23" s="52"/>
      <c r="AA23" s="22"/>
      <c r="AB23" s="22"/>
      <c r="AC23" s="22"/>
      <c r="AD23" s="22"/>
      <c r="AE23" s="22"/>
      <c r="AF23" s="32"/>
      <c r="AG23" s="21"/>
      <c r="AH23" s="22"/>
      <c r="AI23" s="22"/>
      <c r="AJ23" s="22"/>
      <c r="AK23" s="22"/>
      <c r="AL23" s="22"/>
    </row>
    <row r="29" spans="1:38" ht="18.600000000000001" thickBot="1">
      <c r="A29" s="23"/>
      <c r="B29" s="23"/>
      <c r="C29" s="28">
        <f>AA19+'参照用（触らない）'!$A$1</f>
        <v>0.66666666666666652</v>
      </c>
      <c r="D29" s="28"/>
      <c r="E29" s="28"/>
      <c r="F29" s="28"/>
      <c r="G29" s="28"/>
      <c r="H29" s="29"/>
      <c r="I29" s="27">
        <f>C29+'参照用（触らない）'!$A$2</f>
        <v>0.68749999999999989</v>
      </c>
      <c r="J29" s="28"/>
      <c r="K29" s="28"/>
      <c r="L29" s="28"/>
      <c r="M29" s="28"/>
      <c r="N29" s="28"/>
      <c r="O29" s="28">
        <f>C29+'参照用（触らない）'!$A$1</f>
        <v>0.70833333333333315</v>
      </c>
      <c r="P29" s="28"/>
      <c r="Q29" s="28"/>
      <c r="R29" s="28"/>
      <c r="S29" s="28"/>
      <c r="T29" s="29"/>
      <c r="U29" s="27">
        <f>O29+'参照用（触らない）'!$A$2</f>
        <v>0.72916666666666652</v>
      </c>
      <c r="V29" s="28"/>
      <c r="W29" s="28"/>
      <c r="X29" s="28"/>
      <c r="Y29" s="28"/>
      <c r="Z29" s="28"/>
      <c r="AA29" s="28">
        <f>O29+'参照用（触らない）'!$A$1</f>
        <v>0.74999999999999978</v>
      </c>
      <c r="AB29" s="28"/>
      <c r="AC29" s="28"/>
      <c r="AD29" s="28"/>
      <c r="AE29" s="28"/>
      <c r="AF29" s="29"/>
      <c r="AG29" s="27">
        <f>AA29+'参照用（触らない）'!$A$2</f>
        <v>0.77083333333333315</v>
      </c>
      <c r="AH29" s="28"/>
      <c r="AI29" s="28"/>
      <c r="AJ29" s="28"/>
      <c r="AK29" s="28"/>
      <c r="AL29" s="28"/>
    </row>
    <row r="30" spans="1:38" ht="35.4" customHeight="1" thickTop="1">
      <c r="A30" s="19" t="s">
        <v>1</v>
      </c>
      <c r="B30" s="19"/>
      <c r="C30" s="107" t="s">
        <v>54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5"/>
      <c r="O30" s="107" t="s">
        <v>52</v>
      </c>
      <c r="P30" s="64"/>
      <c r="Q30" s="64"/>
      <c r="R30" s="64"/>
      <c r="S30" s="64"/>
      <c r="T30" s="108"/>
      <c r="U30" s="107" t="s">
        <v>53</v>
      </c>
      <c r="V30" s="64"/>
      <c r="W30" s="64"/>
      <c r="X30" s="64"/>
      <c r="Y30" s="64"/>
      <c r="Z30" s="108"/>
      <c r="AA30" s="64" t="s">
        <v>36</v>
      </c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5"/>
    </row>
    <row r="31" spans="1:38" ht="35.4" customHeight="1">
      <c r="A31" s="18" t="s">
        <v>27</v>
      </c>
      <c r="B31" s="18"/>
      <c r="C31" s="109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8"/>
      <c r="O31" s="109"/>
      <c r="P31" s="67"/>
      <c r="Q31" s="67"/>
      <c r="R31" s="67"/>
      <c r="S31" s="67"/>
      <c r="T31" s="110"/>
      <c r="U31" s="109"/>
      <c r="V31" s="67"/>
      <c r="W31" s="67"/>
      <c r="X31" s="67"/>
      <c r="Y31" s="67"/>
      <c r="Z31" s="110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8"/>
    </row>
    <row r="32" spans="1:38" ht="35.4" customHeight="1" thickBot="1">
      <c r="A32" s="24" t="s">
        <v>28</v>
      </c>
      <c r="B32" s="24"/>
      <c r="C32" s="43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1"/>
      <c r="O32" s="43"/>
      <c r="P32" s="70"/>
      <c r="Q32" s="70"/>
      <c r="R32" s="70"/>
      <c r="S32" s="70"/>
      <c r="T32" s="111"/>
      <c r="U32" s="43"/>
      <c r="V32" s="70"/>
      <c r="W32" s="70"/>
      <c r="X32" s="70"/>
      <c r="Y32" s="70"/>
      <c r="Z32" s="111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1"/>
    </row>
    <row r="33" spans="1:38" ht="57" customHeight="1" thickTop="1">
      <c r="A33" s="19" t="s">
        <v>17</v>
      </c>
      <c r="B33" s="19"/>
      <c r="C33" s="54"/>
      <c r="D33" s="54"/>
      <c r="E33" s="54"/>
      <c r="F33" s="54"/>
      <c r="G33" s="54"/>
      <c r="H33" s="55"/>
      <c r="I33" s="21"/>
      <c r="J33" s="22"/>
      <c r="K33" s="22"/>
      <c r="L33" s="22"/>
      <c r="M33" s="22"/>
      <c r="N33" s="22"/>
      <c r="O33" s="54"/>
      <c r="P33" s="54"/>
      <c r="Q33" s="54"/>
      <c r="R33" s="54"/>
      <c r="S33" s="54"/>
      <c r="T33" s="55"/>
      <c r="U33" s="56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7"/>
      <c r="AG33" s="56"/>
      <c r="AH33" s="54"/>
      <c r="AI33" s="54"/>
      <c r="AJ33" s="54"/>
      <c r="AK33" s="54"/>
      <c r="AL33" s="54"/>
    </row>
    <row r="39" spans="1:38" ht="18.600000000000001" thickBot="1">
      <c r="A39" s="23"/>
      <c r="B39" s="23"/>
      <c r="C39" s="28">
        <f>AA29+'参照用（触らない）'!$A$1</f>
        <v>0.79166666666666641</v>
      </c>
      <c r="D39" s="28"/>
      <c r="E39" s="28"/>
      <c r="F39" s="28"/>
      <c r="G39" s="28"/>
      <c r="H39" s="29"/>
      <c r="I39" s="27">
        <f>C39+'参照用（触らない）'!$A$2</f>
        <v>0.81249999999999978</v>
      </c>
      <c r="J39" s="28"/>
      <c r="K39" s="28"/>
      <c r="L39" s="28"/>
      <c r="M39" s="28"/>
      <c r="N39" s="28"/>
      <c r="O39" s="28">
        <f>C39+'参照用（触らない）'!$A$1</f>
        <v>0.83333333333333304</v>
      </c>
      <c r="P39" s="28"/>
      <c r="Q39" s="28"/>
      <c r="R39" s="28"/>
      <c r="S39" s="28"/>
      <c r="T39" s="29"/>
      <c r="U39" s="27">
        <f>O39+'参照用（触らない）'!$A$2</f>
        <v>0.85416666666666641</v>
      </c>
      <c r="V39" s="28"/>
      <c r="W39" s="28"/>
      <c r="X39" s="28"/>
      <c r="Y39" s="28"/>
      <c r="Z39" s="28"/>
      <c r="AA39" s="28">
        <f>O39+'参照用（触らない）'!$A$1</f>
        <v>0.87499999999999967</v>
      </c>
      <c r="AB39" s="28"/>
      <c r="AC39" s="28"/>
      <c r="AD39" s="28"/>
      <c r="AE39" s="28"/>
      <c r="AF39" s="29"/>
      <c r="AG39" s="27">
        <f>AA39+'参照用（触らない）'!$A$2</f>
        <v>0.89583333333333304</v>
      </c>
      <c r="AH39" s="28"/>
      <c r="AI39" s="28"/>
      <c r="AJ39" s="28"/>
      <c r="AK39" s="28"/>
      <c r="AL39" s="28"/>
    </row>
    <row r="40" spans="1:38" ht="35.4" customHeight="1" thickTop="1">
      <c r="A40" s="19" t="s">
        <v>1</v>
      </c>
      <c r="B40" s="19"/>
      <c r="C40" s="107" t="s">
        <v>36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5"/>
    </row>
    <row r="41" spans="1:38" ht="35.4" customHeight="1">
      <c r="A41" s="18" t="s">
        <v>27</v>
      </c>
      <c r="B41" s="18"/>
      <c r="C41" s="109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8"/>
    </row>
    <row r="42" spans="1:38" ht="35.4" customHeight="1" thickBot="1">
      <c r="A42" s="24" t="s">
        <v>28</v>
      </c>
      <c r="B42" s="24"/>
      <c r="C42" s="43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1"/>
    </row>
    <row r="43" spans="1:38" ht="57" customHeight="1" thickTop="1">
      <c r="A43" s="19" t="s">
        <v>17</v>
      </c>
      <c r="B43" s="19"/>
      <c r="C43" s="54"/>
      <c r="D43" s="54"/>
      <c r="E43" s="54"/>
      <c r="F43" s="54"/>
      <c r="G43" s="54"/>
      <c r="H43" s="55"/>
      <c r="I43" s="51"/>
      <c r="J43" s="52"/>
      <c r="K43" s="52"/>
      <c r="L43" s="52"/>
      <c r="M43" s="52"/>
      <c r="N43" s="52"/>
      <c r="O43" s="54"/>
      <c r="P43" s="54"/>
      <c r="Q43" s="54"/>
      <c r="R43" s="54"/>
      <c r="S43" s="54"/>
      <c r="T43" s="55"/>
      <c r="U43" s="56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7"/>
      <c r="AG43" s="56"/>
      <c r="AH43" s="54"/>
      <c r="AI43" s="54"/>
      <c r="AJ43" s="54"/>
      <c r="AK43" s="54"/>
      <c r="AL43" s="54"/>
    </row>
    <row r="47" spans="1:38">
      <c r="A47" s="75" t="s">
        <v>1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7"/>
      <c r="O47" s="75" t="s">
        <v>28</v>
      </c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</row>
    <row r="48" spans="1:38">
      <c r="A48" s="14" t="str">
        <f>VLOOKUP('参照用（触らない）'!$B1,メンバー!$A$13:$I$17,2,FALSE)</f>
        <v>わざさん</v>
      </c>
      <c r="B48" s="14"/>
      <c r="C48" s="14"/>
      <c r="D48" s="14" t="str">
        <f>VLOOKUP('参照用（触らない）'!$B1,メンバー!$A$13:$I$17,9,FALSE)</f>
        <v>〇</v>
      </c>
      <c r="E48" s="14"/>
      <c r="F48" s="14"/>
      <c r="G48" s="15"/>
      <c r="H48" s="13"/>
      <c r="I48" s="14"/>
      <c r="J48" s="14"/>
      <c r="K48" s="14"/>
      <c r="L48" s="14"/>
      <c r="M48" s="14"/>
      <c r="N48" s="15"/>
      <c r="O48" s="13" t="str">
        <f>VLOOKUP('参照用（触らない）'!$B1,メンバー!$A$3:$I$11,3,FALSE)</f>
        <v>前原A僚太</v>
      </c>
      <c r="P48" s="14"/>
      <c r="Q48" s="14"/>
      <c r="R48" s="14" t="str">
        <f>VLOOKUP('参照用（触らない）'!$B1,メンバー!$A$3:$I$11,9,FALSE)</f>
        <v>〇</v>
      </c>
      <c r="S48" s="14"/>
      <c r="T48" s="14"/>
      <c r="U48" s="15"/>
      <c r="V48" s="13" t="str">
        <f>VLOOKUP('参照用（触らない）'!$B5,メンバー!$A$3:$I$11,3,FALSE)</f>
        <v>齋藤大輝</v>
      </c>
      <c r="W48" s="14"/>
      <c r="X48" s="14"/>
      <c r="Y48" s="15" t="str">
        <f>VLOOKUP('参照用（触らない）'!$B5,メンバー!$A$3:$I$11,9,FALSE)</f>
        <v>〇</v>
      </c>
      <c r="Z48" s="16"/>
      <c r="AA48" s="16"/>
      <c r="AB48" s="17"/>
    </row>
    <row r="49" spans="1:28">
      <c r="A49" s="14" t="str">
        <f>VLOOKUP('参照用（触らない）'!$B2,メンバー!$A$13:$I$17,2,FALSE)</f>
        <v>春田ひなの</v>
      </c>
      <c r="B49" s="14"/>
      <c r="C49" s="14"/>
      <c r="D49" s="14" t="str">
        <f>VLOOKUP('参照用（触らない）'!$B2,メンバー!$A$13:$I$17,9,FALSE)</f>
        <v>〇</v>
      </c>
      <c r="E49" s="14"/>
      <c r="F49" s="14"/>
      <c r="G49" s="15"/>
      <c r="H49" s="13"/>
      <c r="I49" s="14"/>
      <c r="J49" s="14"/>
      <c r="K49" s="14"/>
      <c r="L49" s="14"/>
      <c r="M49" s="14"/>
      <c r="N49" s="15"/>
      <c r="O49" s="13" t="str">
        <f>VLOOKUP('参照用（触らない）'!$B2,メンバー!$A$3:$I$11,3,FALSE)</f>
        <v>北風ゆうたろう</v>
      </c>
      <c r="P49" s="14"/>
      <c r="Q49" s="14"/>
      <c r="R49" s="14" t="str">
        <f>VLOOKUP('参照用（触らない）'!$B2,メンバー!$A$3:$I$11,9,FALSE)</f>
        <v>〇</v>
      </c>
      <c r="S49" s="14"/>
      <c r="T49" s="14"/>
      <c r="U49" s="15"/>
      <c r="V49" s="13" t="str">
        <f>VLOOKUP('参照用（触らない）'!$B6,メンバー!$A$3:$I$11,3,FALSE)</f>
        <v>岡田萌</v>
      </c>
      <c r="W49" s="14"/>
      <c r="X49" s="14"/>
      <c r="Y49" s="15" t="str">
        <f>VLOOKUP('参照用（触らない）'!$B6,メンバー!$A$3:$I$11,9,FALSE)</f>
        <v>〇</v>
      </c>
      <c r="Z49" s="16"/>
      <c r="AA49" s="16"/>
      <c r="AB49" s="17"/>
    </row>
    <row r="50" spans="1:28">
      <c r="A50" s="14" t="str">
        <f>VLOOKUP('参照用（触らない）'!$B3,メンバー!$A$13:$I$17,2,FALSE)</f>
        <v>すみほのか</v>
      </c>
      <c r="B50" s="14"/>
      <c r="C50" s="14"/>
      <c r="D50" s="14" t="str">
        <f>VLOOKUP('参照用（触らない）'!$B3,メンバー!$A$13:$I$17,9,FALSE)</f>
        <v>〇</v>
      </c>
      <c r="E50" s="14"/>
      <c r="F50" s="14"/>
      <c r="G50" s="15"/>
      <c r="H50" s="13"/>
      <c r="I50" s="14"/>
      <c r="J50" s="14"/>
      <c r="K50" s="14"/>
      <c r="L50" s="14"/>
      <c r="M50" s="14"/>
      <c r="N50" s="15"/>
      <c r="O50" s="13" t="str">
        <f>VLOOKUP('参照用（触らない）'!$B3,メンバー!$A$3:$I$11,3,FALSE)</f>
        <v>蒼樹とも</v>
      </c>
      <c r="P50" s="14"/>
      <c r="Q50" s="14"/>
      <c r="R50" s="14" t="str">
        <f>VLOOKUP('参照用（触らない）'!$B3,メンバー!$A$3:$I$11,9,FALSE)</f>
        <v>〇</v>
      </c>
      <c r="S50" s="14"/>
      <c r="T50" s="14"/>
      <c r="U50" s="15"/>
      <c r="V50" s="13" t="str">
        <f>VLOOKUP('参照用（触らない）'!$B7,メンバー!$A$3:$I$11,3,FALSE)</f>
        <v>葵</v>
      </c>
      <c r="W50" s="14"/>
      <c r="X50" s="14"/>
      <c r="Y50" s="15" t="str">
        <f>VLOOKUP('参照用（触らない）'!$B7,メンバー!$A$3:$I$11,9,FALSE)</f>
        <v>〇</v>
      </c>
      <c r="Z50" s="16"/>
      <c r="AA50" s="16"/>
      <c r="AB50" s="17"/>
    </row>
    <row r="51" spans="1:28">
      <c r="A51" s="14" t="str">
        <f>VLOOKUP('参照用（触らない）'!$B4,メンバー!$A$13:$I$17,2,FALSE)</f>
        <v>古川詠介</v>
      </c>
      <c r="B51" s="14"/>
      <c r="C51" s="14"/>
      <c r="D51" s="14" t="str">
        <f>VLOOKUP('参照用（触らない）'!$B4,メンバー!$A$13:$I$17,9,FALSE)</f>
        <v>〇</v>
      </c>
      <c r="E51" s="14"/>
      <c r="F51" s="14"/>
      <c r="G51" s="15"/>
      <c r="H51" s="13"/>
      <c r="I51" s="14"/>
      <c r="J51" s="14"/>
      <c r="K51" s="14"/>
      <c r="L51" s="14"/>
      <c r="M51" s="14"/>
      <c r="N51" s="15"/>
      <c r="O51" s="13" t="str">
        <f>VLOOKUP('参照用（触らない）'!$B4,メンバー!$A$3:$I$11,3,FALSE)</f>
        <v>N碕</v>
      </c>
      <c r="P51" s="14"/>
      <c r="Q51" s="14"/>
      <c r="R51" s="14" t="str">
        <f>VLOOKUP('参照用（触らない）'!$B4,メンバー!$A$3:$I$11,9,FALSE)</f>
        <v>〇</v>
      </c>
      <c r="S51" s="14"/>
      <c r="T51" s="14"/>
      <c r="U51" s="15"/>
      <c r="V51" s="13"/>
      <c r="W51" s="14"/>
      <c r="X51" s="14"/>
      <c r="Y51" s="14"/>
      <c r="Z51" s="14"/>
      <c r="AA51" s="14"/>
      <c r="AB51" s="14"/>
    </row>
  </sheetData>
  <mergeCells count="133">
    <mergeCell ref="AA5:AL5"/>
    <mergeCell ref="W3:Z5"/>
    <mergeCell ref="A41:B41"/>
    <mergeCell ref="C40:AL42"/>
    <mergeCell ref="U30:Z32"/>
    <mergeCell ref="AA30:AL32"/>
    <mergeCell ref="C30:N32"/>
    <mergeCell ref="AA20:AL22"/>
    <mergeCell ref="U20:Z22"/>
    <mergeCell ref="I20:N22"/>
    <mergeCell ref="C20:H22"/>
    <mergeCell ref="O20:T22"/>
    <mergeCell ref="AG39:AL39"/>
    <mergeCell ref="A40:B40"/>
    <mergeCell ref="A42:B42"/>
    <mergeCell ref="A39:B39"/>
    <mergeCell ref="C39:H39"/>
    <mergeCell ref="I39:N39"/>
    <mergeCell ref="O39:T39"/>
    <mergeCell ref="U39:Z39"/>
    <mergeCell ref="AA39:AF39"/>
    <mergeCell ref="A32:B32"/>
    <mergeCell ref="A33:B33"/>
    <mergeCell ref="C33:H33"/>
    <mergeCell ref="A51:C51"/>
    <mergeCell ref="D51:G51"/>
    <mergeCell ref="H51:J51"/>
    <mergeCell ref="K51:N51"/>
    <mergeCell ref="O51:Q51"/>
    <mergeCell ref="R51:U51"/>
    <mergeCell ref="V51:X51"/>
    <mergeCell ref="Y51:AB51"/>
    <mergeCell ref="A50:C50"/>
    <mergeCell ref="D50:G50"/>
    <mergeCell ref="H50:J50"/>
    <mergeCell ref="K50:N50"/>
    <mergeCell ref="O50:Q50"/>
    <mergeCell ref="R50:U50"/>
    <mergeCell ref="A49:C49"/>
    <mergeCell ref="D49:G49"/>
    <mergeCell ref="H49:J49"/>
    <mergeCell ref="K49:N49"/>
    <mergeCell ref="O49:Q49"/>
    <mergeCell ref="R49:U49"/>
    <mergeCell ref="V49:X49"/>
    <mergeCell ref="Y49:AB49"/>
    <mergeCell ref="V50:X50"/>
    <mergeCell ref="Y50:AB50"/>
    <mergeCell ref="AA43:AF43"/>
    <mergeCell ref="AG43:AL43"/>
    <mergeCell ref="A47:N47"/>
    <mergeCell ref="O47:AB47"/>
    <mergeCell ref="A48:C48"/>
    <mergeCell ref="D48:G48"/>
    <mergeCell ref="H48:J48"/>
    <mergeCell ref="K48:N48"/>
    <mergeCell ref="O48:Q48"/>
    <mergeCell ref="R48:U48"/>
    <mergeCell ref="A43:B43"/>
    <mergeCell ref="C43:H43"/>
    <mergeCell ref="I43:N43"/>
    <mergeCell ref="O43:T43"/>
    <mergeCell ref="U43:Z43"/>
    <mergeCell ref="V48:X48"/>
    <mergeCell ref="Y48:AB48"/>
    <mergeCell ref="I33:N33"/>
    <mergeCell ref="O33:T33"/>
    <mergeCell ref="U33:Z33"/>
    <mergeCell ref="AA33:AF33"/>
    <mergeCell ref="AG33:AL33"/>
    <mergeCell ref="AG29:AL29"/>
    <mergeCell ref="A30:B30"/>
    <mergeCell ref="O30:T32"/>
    <mergeCell ref="A31:B31"/>
    <mergeCell ref="A29:B29"/>
    <mergeCell ref="C29:H29"/>
    <mergeCell ref="I29:N29"/>
    <mergeCell ref="O29:T29"/>
    <mergeCell ref="U29:Z29"/>
    <mergeCell ref="AA29:AF29"/>
    <mergeCell ref="A22:B22"/>
    <mergeCell ref="A23:B23"/>
    <mergeCell ref="C23:H23"/>
    <mergeCell ref="I23:N23"/>
    <mergeCell ref="O23:T23"/>
    <mergeCell ref="U23:Z23"/>
    <mergeCell ref="AA23:AF23"/>
    <mergeCell ref="AG23:AL23"/>
    <mergeCell ref="A20:B20"/>
    <mergeCell ref="A21:B21"/>
    <mergeCell ref="AG13:AL13"/>
    <mergeCell ref="A19:B19"/>
    <mergeCell ref="C19:H19"/>
    <mergeCell ref="I19:N19"/>
    <mergeCell ref="O19:T19"/>
    <mergeCell ref="U19:Z19"/>
    <mergeCell ref="AA19:AF19"/>
    <mergeCell ref="AG19:AL19"/>
    <mergeCell ref="A13:B13"/>
    <mergeCell ref="C13:H13"/>
    <mergeCell ref="I13:N13"/>
    <mergeCell ref="O13:T13"/>
    <mergeCell ref="U13:Z13"/>
    <mergeCell ref="AA13:AF13"/>
    <mergeCell ref="A12:B12"/>
    <mergeCell ref="U10:AL12"/>
    <mergeCell ref="O10:T12"/>
    <mergeCell ref="C10:N12"/>
    <mergeCell ref="A11:B11"/>
    <mergeCell ref="AA9:AF9"/>
    <mergeCell ref="AG9:AL9"/>
    <mergeCell ref="A10:B10"/>
    <mergeCell ref="D8:F8"/>
    <mergeCell ref="A9:B9"/>
    <mergeCell ref="C9:H9"/>
    <mergeCell ref="I9:N9"/>
    <mergeCell ref="O9:T9"/>
    <mergeCell ref="U9:Z9"/>
    <mergeCell ref="AA2:AL2"/>
    <mergeCell ref="L3:Q3"/>
    <mergeCell ref="R3:U3"/>
    <mergeCell ref="AA3:AL3"/>
    <mergeCell ref="AA4:AL4"/>
    <mergeCell ref="A1:B1"/>
    <mergeCell ref="C1:J1"/>
    <mergeCell ref="L1:U1"/>
    <mergeCell ref="W1:Z1"/>
    <mergeCell ref="AA1:AL1"/>
    <mergeCell ref="A2:B2"/>
    <mergeCell ref="C2:J2"/>
    <mergeCell ref="L2:Q2"/>
    <mergeCell ref="R2:U2"/>
    <mergeCell ref="W2:Z2"/>
  </mergeCells>
  <phoneticPr fontId="2"/>
  <pageMargins left="0.7" right="0.7" top="0.75" bottom="0.75" header="0.3" footer="0.3"/>
  <pageSetup paperSize="9" scale="55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2"/>
  <sheetViews>
    <sheetView view="pageBreakPreview" zoomScaleNormal="75" zoomScaleSheetLayoutView="100" workbookViewId="0">
      <selection activeCell="G13" sqref="G13"/>
    </sheetView>
  </sheetViews>
  <sheetFormatPr defaultColWidth="3.59765625" defaultRowHeight="18"/>
  <cols>
    <col min="1" max="1" width="3.59765625" style="1"/>
    <col min="2" max="2" width="10.3984375" style="1" bestFit="1" customWidth="1"/>
    <col min="3" max="3" width="14.3984375" style="1" bestFit="1" customWidth="1"/>
    <col min="4" max="9" width="9" style="1" bestFit="1" customWidth="1"/>
    <col min="10" max="10" width="5.8984375" style="1" bestFit="1" customWidth="1"/>
    <col min="11" max="16384" width="3.59765625" style="1"/>
  </cols>
  <sheetData>
    <row r="2" spans="1:10">
      <c r="B2" s="112" t="s">
        <v>0</v>
      </c>
      <c r="C2" s="112"/>
      <c r="D2" s="5">
        <v>46105</v>
      </c>
      <c r="E2" s="5">
        <v>46106</v>
      </c>
      <c r="F2" s="5">
        <v>46107</v>
      </c>
      <c r="G2" s="5">
        <v>46108</v>
      </c>
      <c r="H2" s="5">
        <v>46109</v>
      </c>
      <c r="I2" s="5">
        <v>46110</v>
      </c>
    </row>
    <row r="3" spans="1:10">
      <c r="A3" s="1">
        <v>1</v>
      </c>
      <c r="B3" s="3" t="s">
        <v>2</v>
      </c>
      <c r="C3" s="3" t="s">
        <v>37</v>
      </c>
      <c r="D3" s="11" t="s">
        <v>48</v>
      </c>
      <c r="E3" s="11" t="s">
        <v>48</v>
      </c>
      <c r="F3" s="11" t="s">
        <v>48</v>
      </c>
      <c r="G3" s="11" t="s">
        <v>12</v>
      </c>
      <c r="H3" s="11" t="s">
        <v>12</v>
      </c>
      <c r="I3" s="11" t="s">
        <v>12</v>
      </c>
      <c r="J3" s="1" t="s">
        <v>77</v>
      </c>
    </row>
    <row r="4" spans="1:10">
      <c r="A4" s="1">
        <v>2</v>
      </c>
      <c r="B4" s="3" t="s">
        <v>5</v>
      </c>
      <c r="C4" s="3" t="s">
        <v>38</v>
      </c>
      <c r="D4" s="12" t="s">
        <v>13</v>
      </c>
      <c r="E4" s="12" t="s">
        <v>13</v>
      </c>
      <c r="F4" s="12" t="s">
        <v>13</v>
      </c>
      <c r="G4" s="11" t="s">
        <v>12</v>
      </c>
      <c r="H4" s="11" t="s">
        <v>12</v>
      </c>
      <c r="I4" s="11" t="s">
        <v>12</v>
      </c>
    </row>
    <row r="5" spans="1:10">
      <c r="A5" s="1">
        <v>3</v>
      </c>
      <c r="B5" s="3" t="s">
        <v>3</v>
      </c>
      <c r="C5" s="3" t="s">
        <v>11</v>
      </c>
      <c r="D5" s="11" t="s">
        <v>12</v>
      </c>
      <c r="E5" s="11" t="s">
        <v>50</v>
      </c>
      <c r="F5" s="11" t="s">
        <v>50</v>
      </c>
      <c r="G5" s="11" t="s">
        <v>12</v>
      </c>
      <c r="H5" s="11" t="s">
        <v>12</v>
      </c>
      <c r="I5" s="11" t="s">
        <v>12</v>
      </c>
    </row>
    <row r="6" spans="1:10">
      <c r="A6" s="1">
        <v>4</v>
      </c>
      <c r="B6" s="3" t="s">
        <v>4</v>
      </c>
      <c r="C6" s="3" t="s">
        <v>39</v>
      </c>
      <c r="D6" s="11" t="s">
        <v>79</v>
      </c>
      <c r="E6" s="11" t="s">
        <v>79</v>
      </c>
      <c r="F6" s="11" t="s">
        <v>117</v>
      </c>
      <c r="G6" s="11" t="s">
        <v>12</v>
      </c>
      <c r="H6" s="11" t="s">
        <v>12</v>
      </c>
      <c r="I6" s="11" t="s">
        <v>12</v>
      </c>
      <c r="J6" s="1" t="s">
        <v>78</v>
      </c>
    </row>
    <row r="7" spans="1:10">
      <c r="A7" s="1">
        <v>5</v>
      </c>
      <c r="B7" s="3" t="s">
        <v>6</v>
      </c>
      <c r="C7" s="3" t="s">
        <v>40</v>
      </c>
      <c r="D7" s="11" t="s">
        <v>49</v>
      </c>
      <c r="E7" s="11" t="s">
        <v>12</v>
      </c>
      <c r="F7" s="11" t="s">
        <v>12</v>
      </c>
      <c r="G7" s="11" t="s">
        <v>12</v>
      </c>
      <c r="H7" s="11" t="s">
        <v>12</v>
      </c>
      <c r="I7" s="11" t="s">
        <v>12</v>
      </c>
    </row>
    <row r="8" spans="1:10">
      <c r="A8" s="1">
        <v>6</v>
      </c>
      <c r="B8" s="3" t="s">
        <v>7</v>
      </c>
      <c r="C8" s="3" t="s">
        <v>41</v>
      </c>
      <c r="D8" s="11" t="s">
        <v>13</v>
      </c>
      <c r="E8" s="11" t="s">
        <v>51</v>
      </c>
      <c r="F8" s="11" t="s">
        <v>12</v>
      </c>
      <c r="G8" s="12" t="s">
        <v>15</v>
      </c>
      <c r="H8" s="11" t="s">
        <v>12</v>
      </c>
      <c r="I8" s="11" t="s">
        <v>12</v>
      </c>
    </row>
    <row r="9" spans="1:10">
      <c r="B9" s="3" t="s">
        <v>8</v>
      </c>
      <c r="C9" s="3"/>
      <c r="D9" s="11"/>
      <c r="E9" s="11"/>
      <c r="F9" s="11"/>
      <c r="G9" s="11"/>
      <c r="H9" s="11"/>
      <c r="I9" s="11"/>
    </row>
    <row r="10" spans="1:10">
      <c r="A10" s="1">
        <v>7</v>
      </c>
      <c r="B10" s="3" t="s">
        <v>9</v>
      </c>
      <c r="C10" s="3" t="s">
        <v>42</v>
      </c>
      <c r="D10" s="11" t="s">
        <v>81</v>
      </c>
      <c r="E10" s="11" t="s">
        <v>81</v>
      </c>
      <c r="F10" s="11" t="s">
        <v>81</v>
      </c>
      <c r="G10" s="11" t="s">
        <v>12</v>
      </c>
      <c r="H10" s="11" t="s">
        <v>12</v>
      </c>
      <c r="I10" s="11" t="s">
        <v>12</v>
      </c>
      <c r="J10" s="1" t="s">
        <v>80</v>
      </c>
    </row>
    <row r="11" spans="1:10">
      <c r="B11" s="3" t="s">
        <v>10</v>
      </c>
      <c r="C11" s="3"/>
      <c r="D11" s="3"/>
      <c r="E11" s="3"/>
      <c r="F11" s="3"/>
      <c r="G11" s="3"/>
      <c r="H11" s="3"/>
      <c r="I11" s="3"/>
    </row>
    <row r="12" spans="1:10">
      <c r="B12" s="112" t="s">
        <v>1</v>
      </c>
      <c r="C12" s="112"/>
      <c r="D12" s="4">
        <f>D2</f>
        <v>46105</v>
      </c>
      <c r="E12" s="4">
        <f t="shared" ref="E12:I12" si="0">E2</f>
        <v>46106</v>
      </c>
      <c r="F12" s="4">
        <f t="shared" si="0"/>
        <v>46107</v>
      </c>
      <c r="G12" s="4">
        <f t="shared" ref="G12:H12" si="1">G2</f>
        <v>46108</v>
      </c>
      <c r="H12" s="4">
        <f t="shared" si="1"/>
        <v>46109</v>
      </c>
      <c r="I12" s="4">
        <f t="shared" si="0"/>
        <v>46110</v>
      </c>
    </row>
    <row r="13" spans="1:10">
      <c r="A13" s="1">
        <v>1</v>
      </c>
      <c r="B13" s="14" t="s">
        <v>43</v>
      </c>
      <c r="C13" s="14"/>
      <c r="D13" s="11" t="s">
        <v>14</v>
      </c>
      <c r="E13" s="11" t="s">
        <v>14</v>
      </c>
      <c r="F13" s="11" t="s">
        <v>14</v>
      </c>
      <c r="G13" s="11" t="s">
        <v>12</v>
      </c>
      <c r="H13" s="11" t="s">
        <v>12</v>
      </c>
      <c r="I13" s="11" t="s">
        <v>12</v>
      </c>
      <c r="J13" s="1" t="s">
        <v>76</v>
      </c>
    </row>
    <row r="14" spans="1:10">
      <c r="B14" s="14" t="s">
        <v>44</v>
      </c>
      <c r="C14" s="14"/>
      <c r="D14" s="12"/>
      <c r="E14" s="11"/>
      <c r="F14" s="11"/>
      <c r="G14" s="11"/>
      <c r="H14" s="11"/>
      <c r="I14" s="11"/>
      <c r="J14" s="10"/>
    </row>
    <row r="15" spans="1:10">
      <c r="A15" s="1">
        <v>2</v>
      </c>
      <c r="B15" s="14" t="s">
        <v>45</v>
      </c>
      <c r="C15" s="14"/>
      <c r="D15" s="12" t="s">
        <v>13</v>
      </c>
      <c r="E15" s="12" t="s">
        <v>13</v>
      </c>
      <c r="F15" s="11" t="s">
        <v>83</v>
      </c>
      <c r="G15" s="11" t="s">
        <v>83</v>
      </c>
      <c r="H15" s="11" t="s">
        <v>12</v>
      </c>
      <c r="I15" s="11" t="s">
        <v>12</v>
      </c>
      <c r="J15" s="1" t="s">
        <v>82</v>
      </c>
    </row>
    <row r="16" spans="1:10">
      <c r="A16" s="1">
        <v>3</v>
      </c>
      <c r="B16" s="14" t="s">
        <v>46</v>
      </c>
      <c r="C16" s="14"/>
      <c r="D16" s="12" t="s">
        <v>15</v>
      </c>
      <c r="E16" s="12" t="s">
        <v>15</v>
      </c>
      <c r="F16" s="12" t="s">
        <v>15</v>
      </c>
      <c r="G16" s="12" t="s">
        <v>51</v>
      </c>
      <c r="H16" s="11" t="s">
        <v>12</v>
      </c>
      <c r="I16" s="11" t="s">
        <v>12</v>
      </c>
    </row>
    <row r="17" spans="1:10">
      <c r="A17" s="1">
        <v>4</v>
      </c>
      <c r="B17" s="14" t="s">
        <v>47</v>
      </c>
      <c r="C17" s="14"/>
      <c r="D17" s="11" t="s">
        <v>13</v>
      </c>
      <c r="E17" s="11" t="s">
        <v>13</v>
      </c>
      <c r="F17" s="11" t="s">
        <v>13</v>
      </c>
      <c r="G17" s="12" t="s">
        <v>51</v>
      </c>
      <c r="H17" s="11" t="s">
        <v>12</v>
      </c>
      <c r="I17" s="11" t="s">
        <v>12</v>
      </c>
    </row>
    <row r="18" spans="1:10">
      <c r="B18" s="14"/>
      <c r="C18" s="14"/>
      <c r="D18" s="3"/>
      <c r="E18" s="6"/>
      <c r="F18" s="3"/>
      <c r="G18" s="3"/>
      <c r="H18" s="3"/>
      <c r="I18" s="3"/>
    </row>
    <row r="19" spans="1:10">
      <c r="B19" s="14"/>
      <c r="C19" s="14"/>
      <c r="D19" s="3"/>
      <c r="E19" s="3"/>
      <c r="F19" s="3"/>
      <c r="G19" s="3"/>
      <c r="H19" s="3"/>
      <c r="I19" s="3"/>
    </row>
    <row r="20" spans="1:10">
      <c r="B20" s="14"/>
      <c r="C20" s="14"/>
      <c r="D20" s="3"/>
      <c r="E20" s="6"/>
      <c r="F20" s="3"/>
      <c r="G20" s="3"/>
      <c r="H20" s="3"/>
      <c r="I20" s="3"/>
    </row>
    <row r="21" spans="1:10">
      <c r="B21" s="14"/>
      <c r="C21" s="14"/>
      <c r="D21" s="3"/>
      <c r="E21" s="3"/>
      <c r="F21" s="3"/>
      <c r="G21" s="3"/>
      <c r="H21" s="3"/>
      <c r="I21" s="3"/>
      <c r="J21" s="9"/>
    </row>
    <row r="22" spans="1:10">
      <c r="B22" s="14"/>
      <c r="C22" s="14"/>
      <c r="D22" s="3"/>
      <c r="E22" s="3"/>
      <c r="F22" s="3"/>
      <c r="G22" s="3"/>
      <c r="H22" s="3"/>
      <c r="I22" s="3"/>
    </row>
  </sheetData>
  <mergeCells count="12">
    <mergeCell ref="B18:C18"/>
    <mergeCell ref="B19:C19"/>
    <mergeCell ref="B20:C20"/>
    <mergeCell ref="B21:C21"/>
    <mergeCell ref="B22:C22"/>
    <mergeCell ref="B16:C16"/>
    <mergeCell ref="B17:C17"/>
    <mergeCell ref="B2:C2"/>
    <mergeCell ref="B12:C12"/>
    <mergeCell ref="B13:C13"/>
    <mergeCell ref="B14:C14"/>
    <mergeCell ref="B15:C15"/>
  </mergeCells>
  <phoneticPr fontId="2"/>
  <pageMargins left="0.7" right="0.7" top="0.75" bottom="0.75" header="0.3" footer="0.3"/>
  <pageSetup paperSize="9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357B-740C-454A-9CF5-CA0D7402B612}">
  <sheetPr>
    <pageSetUpPr fitToPage="1"/>
  </sheetPr>
  <dimension ref="A1:B15"/>
  <sheetViews>
    <sheetView view="pageLayout" zoomScaleNormal="75" workbookViewId="0">
      <selection activeCell="B1" sqref="B1"/>
    </sheetView>
  </sheetViews>
  <sheetFormatPr defaultRowHeight="18"/>
  <sheetData>
    <row r="1" spans="1:2">
      <c r="A1" s="7">
        <v>4.1666666666666664E-2</v>
      </c>
      <c r="B1">
        <v>1</v>
      </c>
    </row>
    <row r="2" spans="1:2">
      <c r="A2" s="7">
        <v>2.0833333333333332E-2</v>
      </c>
      <c r="B2">
        <v>2</v>
      </c>
    </row>
    <row r="3" spans="1:2">
      <c r="B3">
        <v>3</v>
      </c>
    </row>
    <row r="4" spans="1:2">
      <c r="B4">
        <v>4</v>
      </c>
    </row>
    <row r="5" spans="1:2">
      <c r="B5">
        <v>5</v>
      </c>
    </row>
    <row r="6" spans="1:2">
      <c r="B6">
        <v>6</v>
      </c>
    </row>
    <row r="7" spans="1:2">
      <c r="B7">
        <v>7</v>
      </c>
    </row>
    <row r="8" spans="1:2">
      <c r="B8">
        <v>8</v>
      </c>
    </row>
    <row r="9" spans="1:2">
      <c r="B9">
        <v>9</v>
      </c>
    </row>
    <row r="10" spans="1:2">
      <c r="B10">
        <v>10</v>
      </c>
    </row>
    <row r="11" spans="1:2">
      <c r="B11">
        <v>11</v>
      </c>
    </row>
    <row r="12" spans="1:2">
      <c r="B12">
        <v>12</v>
      </c>
    </row>
    <row r="13" spans="1:2">
      <c r="B13">
        <v>13</v>
      </c>
    </row>
    <row r="14" spans="1:2">
      <c r="B14">
        <v>14</v>
      </c>
    </row>
    <row r="15" spans="1:2">
      <c r="B15">
        <v>15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4567-2577-4FD2-A2DF-D958A6058A39}">
  <sheetPr>
    <pageSetUpPr fitToPage="1"/>
  </sheetPr>
  <dimension ref="A1"/>
  <sheetViews>
    <sheetView view="pageLayout" zoomScaleNormal="75" workbookViewId="0">
      <selection activeCell="C6" sqref="C6"/>
    </sheetView>
  </sheetViews>
  <sheetFormatPr defaultRowHeight="18"/>
  <cols>
    <col min="1" max="16384" width="8.796875" style="8"/>
  </cols>
  <sheetData/>
  <phoneticPr fontId="2"/>
  <pageMargins left="0.7" right="0.7" top="0.75" bottom="0.75" header="0.3" footer="0.3"/>
  <pageSetup paperSize="9" scale="8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0324</vt:lpstr>
      <vt:lpstr>0325</vt:lpstr>
      <vt:lpstr>0326</vt:lpstr>
      <vt:lpstr>0327</vt:lpstr>
      <vt:lpstr>0328</vt:lpstr>
      <vt:lpstr>0329</vt:lpstr>
      <vt:lpstr>メンバー</vt:lpstr>
      <vt:lpstr>参照用（触らない）</vt:lpstr>
      <vt:lpstr>参照用</vt:lpstr>
      <vt:lpstr>'0324'!Print_Area</vt:lpstr>
      <vt:lpstr>'0325'!Print_Area</vt:lpstr>
      <vt:lpstr>'0326'!Print_Area</vt:lpstr>
      <vt:lpstr>'0327'!Print_Area</vt:lpstr>
      <vt:lpstr>'0328'!Print_Area</vt:lpstr>
      <vt:lpstr>'0329'!Print_Area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tomoyuki aoki</cp:lastModifiedBy>
  <cp:lastPrinted>2025-11-24T01:46:58Z</cp:lastPrinted>
  <dcterms:created xsi:type="dcterms:W3CDTF">2015-06-05T18:19:34Z</dcterms:created>
  <dcterms:modified xsi:type="dcterms:W3CDTF">2026-03-09T00:32:55Z</dcterms:modified>
</cp:coreProperties>
</file>