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01.ドキュメント\01.劇団抜きにくい釘\07.個人\蒼樹とも\01.参加公演\WAN-WAN-BOTAN-2026\03.舞台監督\"/>
    </mc:Choice>
  </mc:AlternateContent>
  <xr:revisionPtr revIDLastSave="0" documentId="13_ncr:1_{93C78A4E-4183-4494-A3BD-6CABE2CE11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0324" sheetId="2" r:id="rId1"/>
    <sheet name="0325" sheetId="9" r:id="rId2"/>
    <sheet name="0326" sheetId="8" r:id="rId3"/>
    <sheet name="0327" sheetId="10" r:id="rId4"/>
    <sheet name="0328" sheetId="11" r:id="rId5"/>
    <sheet name="0329" sheetId="12" r:id="rId6"/>
    <sheet name="0327_2" sheetId="4" r:id="rId7"/>
    <sheet name="0328_2" sheetId="5" r:id="rId8"/>
    <sheet name="0329_" sheetId="6" r:id="rId9"/>
    <sheet name="メンバー" sheetId="1" r:id="rId10"/>
    <sheet name="参照用（触らない）" sheetId="3" r:id="rId11"/>
    <sheet name="参照用" sheetId="7" r:id="rId12"/>
  </sheets>
  <definedNames>
    <definedName name="_xlnm.Print_Area" localSheetId="0">'0324'!$A$1:$AL$51</definedName>
    <definedName name="_xlnm.Print_Area" localSheetId="1">'0325'!$A$1:$AL$51</definedName>
    <definedName name="_xlnm.Print_Area" localSheetId="2">'0326'!$A$1:$AL$51</definedName>
    <definedName name="_xlnm.Print_Area" localSheetId="3">'0327'!$A$1:$AL$51</definedName>
    <definedName name="_xlnm.Print_Area" localSheetId="6">'0327_2'!$A$1:$AL$51</definedName>
    <definedName name="_xlnm.Print_Area" localSheetId="4">'0328'!$A$1:$AL$51</definedName>
    <definedName name="_xlnm.Print_Area" localSheetId="7">'0328_2'!$A$1:$AL$51</definedName>
    <definedName name="_xlnm.Print_Area" localSheetId="5">'0329'!$A$1:$AL$51</definedName>
    <definedName name="_xlnm.Print_Area" localSheetId="8">'0329_'!$A$1:$AL$51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1" i="12" l="1"/>
  <c r="D51" i="12"/>
  <c r="Y50" i="12"/>
  <c r="R50" i="12"/>
  <c r="D50" i="12"/>
  <c r="Y49" i="12"/>
  <c r="R49" i="12"/>
  <c r="D49" i="12"/>
  <c r="Y48" i="12"/>
  <c r="R48" i="12"/>
  <c r="D48" i="12"/>
  <c r="R51" i="11"/>
  <c r="D51" i="11"/>
  <c r="Y50" i="11"/>
  <c r="R50" i="11"/>
  <c r="D50" i="11"/>
  <c r="Y49" i="11"/>
  <c r="R49" i="11"/>
  <c r="D49" i="11"/>
  <c r="Y48" i="11"/>
  <c r="R48" i="11"/>
  <c r="D48" i="11"/>
  <c r="R51" i="10"/>
  <c r="D51" i="10"/>
  <c r="Y50" i="10"/>
  <c r="R50" i="10"/>
  <c r="D50" i="10"/>
  <c r="Y49" i="10"/>
  <c r="R49" i="10"/>
  <c r="D49" i="10"/>
  <c r="Y48" i="10"/>
  <c r="R48" i="10"/>
  <c r="D48" i="10"/>
  <c r="R51" i="8"/>
  <c r="D51" i="8"/>
  <c r="Y50" i="8"/>
  <c r="R50" i="8"/>
  <c r="D50" i="8"/>
  <c r="Y49" i="8"/>
  <c r="R49" i="8"/>
  <c r="D49" i="8"/>
  <c r="Y48" i="8"/>
  <c r="R48" i="8"/>
  <c r="D48" i="8"/>
  <c r="R51" i="9"/>
  <c r="D51" i="9"/>
  <c r="Y50" i="9"/>
  <c r="R50" i="9"/>
  <c r="D50" i="9"/>
  <c r="Y49" i="9"/>
  <c r="R49" i="9"/>
  <c r="D49" i="9"/>
  <c r="Y48" i="9"/>
  <c r="R48" i="9"/>
  <c r="D48" i="9"/>
  <c r="O51" i="12"/>
  <c r="A51" i="12"/>
  <c r="V50" i="12"/>
  <c r="O50" i="12"/>
  <c r="A50" i="12"/>
  <c r="V49" i="12"/>
  <c r="O49" i="12"/>
  <c r="A49" i="12"/>
  <c r="V48" i="12"/>
  <c r="O48" i="12"/>
  <c r="A48" i="12"/>
  <c r="C9" i="12"/>
  <c r="I9" i="12" s="1"/>
  <c r="O51" i="11"/>
  <c r="A51" i="11"/>
  <c r="V50" i="11"/>
  <c r="O50" i="11"/>
  <c r="A50" i="11"/>
  <c r="V49" i="11"/>
  <c r="O49" i="11"/>
  <c r="A49" i="11"/>
  <c r="V48" i="11"/>
  <c r="O48" i="11"/>
  <c r="A48" i="11"/>
  <c r="C9" i="11"/>
  <c r="O9" i="11" s="1"/>
  <c r="O51" i="10"/>
  <c r="A51" i="10"/>
  <c r="V50" i="10"/>
  <c r="O50" i="10"/>
  <c r="A50" i="10"/>
  <c r="V49" i="10"/>
  <c r="O49" i="10"/>
  <c r="A49" i="10"/>
  <c r="V48" i="10"/>
  <c r="O48" i="10"/>
  <c r="A48" i="10"/>
  <c r="C9" i="10"/>
  <c r="I9" i="10" s="1"/>
  <c r="O51" i="9"/>
  <c r="A51" i="9"/>
  <c r="V50" i="9"/>
  <c r="O50" i="9"/>
  <c r="A50" i="9"/>
  <c r="V49" i="9"/>
  <c r="O49" i="9"/>
  <c r="A49" i="9"/>
  <c r="V48" i="9"/>
  <c r="O48" i="9"/>
  <c r="A48" i="9"/>
  <c r="C9" i="9"/>
  <c r="O9" i="9" s="1"/>
  <c r="O51" i="8"/>
  <c r="A51" i="8"/>
  <c r="V50" i="8"/>
  <c r="O50" i="8"/>
  <c r="A50" i="8"/>
  <c r="V49" i="8"/>
  <c r="O49" i="8"/>
  <c r="A49" i="8"/>
  <c r="V48" i="8"/>
  <c r="O48" i="8"/>
  <c r="A48" i="8"/>
  <c r="C9" i="8"/>
  <c r="O9" i="8" s="1"/>
  <c r="R51" i="6"/>
  <c r="O51" i="6"/>
  <c r="D51" i="6"/>
  <c r="A51" i="6"/>
  <c r="Y50" i="6"/>
  <c r="V50" i="6"/>
  <c r="R50" i="6"/>
  <c r="O50" i="6"/>
  <c r="D50" i="6"/>
  <c r="A50" i="6"/>
  <c r="Y49" i="6"/>
  <c r="V49" i="6"/>
  <c r="R49" i="6"/>
  <c r="O49" i="6"/>
  <c r="D49" i="6"/>
  <c r="A49" i="6"/>
  <c r="Y48" i="6"/>
  <c r="V48" i="6"/>
  <c r="R48" i="6"/>
  <c r="O48" i="6"/>
  <c r="D48" i="6"/>
  <c r="A48" i="6"/>
  <c r="R51" i="5"/>
  <c r="O51" i="5"/>
  <c r="D51" i="5"/>
  <c r="A51" i="5"/>
  <c r="Y50" i="5"/>
  <c r="V50" i="5"/>
  <c r="R50" i="5"/>
  <c r="O50" i="5"/>
  <c r="D50" i="5"/>
  <c r="A50" i="5"/>
  <c r="Y49" i="5"/>
  <c r="V49" i="5"/>
  <c r="R49" i="5"/>
  <c r="O49" i="5"/>
  <c r="D49" i="5"/>
  <c r="A49" i="5"/>
  <c r="Y48" i="5"/>
  <c r="V48" i="5"/>
  <c r="R48" i="5"/>
  <c r="O48" i="5"/>
  <c r="D48" i="5"/>
  <c r="A48" i="5"/>
  <c r="R51" i="4"/>
  <c r="O51" i="4"/>
  <c r="D51" i="4"/>
  <c r="A51" i="4"/>
  <c r="Y50" i="4"/>
  <c r="V50" i="4"/>
  <c r="R50" i="4"/>
  <c r="O50" i="4"/>
  <c r="D50" i="4"/>
  <c r="A50" i="4"/>
  <c r="Y49" i="4"/>
  <c r="V49" i="4"/>
  <c r="R49" i="4"/>
  <c r="O49" i="4"/>
  <c r="D49" i="4"/>
  <c r="A49" i="4"/>
  <c r="Y48" i="4"/>
  <c r="V48" i="4"/>
  <c r="R48" i="4"/>
  <c r="O48" i="4"/>
  <c r="D48" i="4"/>
  <c r="A48" i="4"/>
  <c r="D51" i="2"/>
  <c r="D50" i="2"/>
  <c r="D49" i="2"/>
  <c r="D48" i="2"/>
  <c r="A48" i="2"/>
  <c r="A51" i="2"/>
  <c r="A50" i="2"/>
  <c r="A49" i="2"/>
  <c r="O48" i="2"/>
  <c r="Y50" i="2"/>
  <c r="Y49" i="2"/>
  <c r="Y48" i="2"/>
  <c r="R51" i="2"/>
  <c r="R50" i="2"/>
  <c r="R49" i="2"/>
  <c r="R48" i="2"/>
  <c r="V50" i="2"/>
  <c r="V49" i="2"/>
  <c r="V48" i="2"/>
  <c r="O51" i="2"/>
  <c r="O50" i="2"/>
  <c r="O49" i="2"/>
  <c r="O9" i="12" l="1"/>
  <c r="U9" i="12" s="1"/>
  <c r="AA9" i="12"/>
  <c r="AA9" i="11"/>
  <c r="U9" i="11"/>
  <c r="I9" i="11"/>
  <c r="O9" i="10"/>
  <c r="AA9" i="9"/>
  <c r="U9" i="9"/>
  <c r="I9" i="9"/>
  <c r="AA9" i="8"/>
  <c r="U9" i="8"/>
  <c r="I9" i="8"/>
  <c r="H12" i="1"/>
  <c r="G12" i="1"/>
  <c r="C9" i="6"/>
  <c r="O9" i="6" s="1"/>
  <c r="C19" i="12" l="1"/>
  <c r="AG9" i="12"/>
  <c r="C19" i="11"/>
  <c r="AG9" i="11"/>
  <c r="AA9" i="10"/>
  <c r="U9" i="10"/>
  <c r="C19" i="9"/>
  <c r="AG9" i="9"/>
  <c r="C19" i="8"/>
  <c r="AG9" i="8"/>
  <c r="AA9" i="6"/>
  <c r="U9" i="6"/>
  <c r="I9" i="6"/>
  <c r="O19" i="12" l="1"/>
  <c r="I19" i="12"/>
  <c r="O19" i="11"/>
  <c r="I19" i="11"/>
  <c r="C19" i="10"/>
  <c r="AG9" i="10"/>
  <c r="O19" i="9"/>
  <c r="I19" i="9"/>
  <c r="O19" i="8"/>
  <c r="I19" i="8"/>
  <c r="C19" i="6"/>
  <c r="AG9" i="6"/>
  <c r="C9" i="5"/>
  <c r="O9" i="5" s="1"/>
  <c r="C9" i="4"/>
  <c r="O9" i="4" s="1"/>
  <c r="C9" i="2"/>
  <c r="I9" i="2" s="1"/>
  <c r="AA19" i="12" l="1"/>
  <c r="U19" i="12"/>
  <c r="AA19" i="11"/>
  <c r="U19" i="11"/>
  <c r="O19" i="10"/>
  <c r="I19" i="10"/>
  <c r="AA19" i="9"/>
  <c r="U19" i="9"/>
  <c r="AA19" i="8"/>
  <c r="U19" i="8"/>
  <c r="O19" i="6"/>
  <c r="I19" i="6"/>
  <c r="AA9" i="5"/>
  <c r="U9" i="5"/>
  <c r="I9" i="5"/>
  <c r="AA9" i="4"/>
  <c r="U9" i="4"/>
  <c r="I9" i="4"/>
  <c r="O9" i="2"/>
  <c r="AA9" i="2" s="1"/>
  <c r="AG9" i="2" s="1"/>
  <c r="E12" i="1"/>
  <c r="F12" i="1"/>
  <c r="I12" i="1"/>
  <c r="D12" i="1"/>
  <c r="C29" i="12" l="1"/>
  <c r="AG19" i="12"/>
  <c r="C29" i="11"/>
  <c r="AG19" i="11"/>
  <c r="AA19" i="10"/>
  <c r="U19" i="10"/>
  <c r="AG19" i="9"/>
  <c r="C29" i="9"/>
  <c r="C29" i="8"/>
  <c r="AG19" i="8"/>
  <c r="AA19" i="6"/>
  <c r="U19" i="6"/>
  <c r="C19" i="5"/>
  <c r="AG9" i="5"/>
  <c r="C19" i="4"/>
  <c r="AG9" i="4"/>
  <c r="U9" i="2"/>
  <c r="C19" i="2"/>
  <c r="I19" i="2" s="1"/>
  <c r="I29" i="12" l="1"/>
  <c r="O29" i="12"/>
  <c r="I29" i="11"/>
  <c r="O29" i="11"/>
  <c r="C29" i="10"/>
  <c r="AG19" i="10"/>
  <c r="I29" i="9"/>
  <c r="O29" i="9"/>
  <c r="I29" i="8"/>
  <c r="O29" i="8"/>
  <c r="C29" i="6"/>
  <c r="AG19" i="6"/>
  <c r="O19" i="5"/>
  <c r="I19" i="5"/>
  <c r="I19" i="4"/>
  <c r="O19" i="4"/>
  <c r="O19" i="2"/>
  <c r="AA29" i="12" l="1"/>
  <c r="U29" i="12"/>
  <c r="AA29" i="11"/>
  <c r="U29" i="11"/>
  <c r="I29" i="10"/>
  <c r="O29" i="10"/>
  <c r="AA29" i="9"/>
  <c r="U29" i="9"/>
  <c r="AA29" i="8"/>
  <c r="U29" i="8"/>
  <c r="O29" i="6"/>
  <c r="I29" i="6"/>
  <c r="U19" i="5"/>
  <c r="AA19" i="5"/>
  <c r="U19" i="4"/>
  <c r="AA19" i="4"/>
  <c r="U19" i="2"/>
  <c r="AA19" i="2"/>
  <c r="C39" i="12" l="1"/>
  <c r="AG29" i="12"/>
  <c r="AG29" i="11"/>
  <c r="C39" i="11"/>
  <c r="AA29" i="10"/>
  <c r="U29" i="10"/>
  <c r="C39" i="9"/>
  <c r="AG29" i="9"/>
  <c r="C39" i="8"/>
  <c r="AG29" i="8"/>
  <c r="AA29" i="6"/>
  <c r="U29" i="6"/>
  <c r="C29" i="5"/>
  <c r="AG19" i="5"/>
  <c r="C29" i="4"/>
  <c r="AG19" i="4"/>
  <c r="AG19" i="2"/>
  <c r="C29" i="2"/>
  <c r="O39" i="12" l="1"/>
  <c r="I39" i="12"/>
  <c r="I39" i="11"/>
  <c r="O39" i="11"/>
  <c r="C39" i="10"/>
  <c r="AG29" i="10"/>
  <c r="O39" i="9"/>
  <c r="I39" i="9"/>
  <c r="O39" i="8"/>
  <c r="I39" i="8"/>
  <c r="AG29" i="6"/>
  <c r="C39" i="6"/>
  <c r="O29" i="5"/>
  <c r="I29" i="5"/>
  <c r="O29" i="4"/>
  <c r="I29" i="4"/>
  <c r="O29" i="2"/>
  <c r="I29" i="2"/>
  <c r="U39" i="12" l="1"/>
  <c r="AA39" i="12"/>
  <c r="AG39" i="12" s="1"/>
  <c r="AA39" i="11"/>
  <c r="AG39" i="11" s="1"/>
  <c r="U39" i="11"/>
  <c r="O39" i="10"/>
  <c r="I39" i="10"/>
  <c r="AA39" i="9"/>
  <c r="AG39" i="9" s="1"/>
  <c r="U39" i="9"/>
  <c r="AA39" i="8"/>
  <c r="AG39" i="8" s="1"/>
  <c r="U39" i="8"/>
  <c r="O39" i="6"/>
  <c r="I39" i="6"/>
  <c r="AA29" i="5"/>
  <c r="U29" i="5"/>
  <c r="AA29" i="4"/>
  <c r="U29" i="4"/>
  <c r="AA29" i="2"/>
  <c r="U29" i="2"/>
  <c r="AA39" i="10" l="1"/>
  <c r="AG39" i="10" s="1"/>
  <c r="U39" i="10"/>
  <c r="U39" i="6"/>
  <c r="AA39" i="6"/>
  <c r="AG39" i="6" s="1"/>
  <c r="C39" i="5"/>
  <c r="AG29" i="5"/>
  <c r="C39" i="4"/>
  <c r="AG29" i="4"/>
  <c r="AG29" i="2"/>
  <c r="C39" i="2"/>
  <c r="O39" i="5" l="1"/>
  <c r="I39" i="5"/>
  <c r="O39" i="4"/>
  <c r="I39" i="4"/>
  <c r="O39" i="2"/>
  <c r="I39" i="2"/>
  <c r="AA39" i="5" l="1"/>
  <c r="AG39" i="5" s="1"/>
  <c r="U39" i="5"/>
  <c r="AA39" i="4"/>
  <c r="AG39" i="4" s="1"/>
  <c r="U39" i="4"/>
  <c r="AA39" i="2"/>
  <c r="AG39" i="2" s="1"/>
  <c r="U39" i="2"/>
</calcChain>
</file>

<file path=xl/sharedStrings.xml><?xml version="1.0" encoding="utf-8"?>
<sst xmlns="http://schemas.openxmlformats.org/spreadsheetml/2006/main" count="527" uniqueCount="162">
  <si>
    <t>テクニカル</t>
    <phoneticPr fontId="2"/>
  </si>
  <si>
    <t>役者</t>
    <rPh sb="0" eb="2">
      <t>ヤクシャ</t>
    </rPh>
    <phoneticPr fontId="2"/>
  </si>
  <si>
    <t>演出</t>
    <rPh sb="0" eb="2">
      <t>エンシュツ</t>
    </rPh>
    <phoneticPr fontId="2"/>
  </si>
  <si>
    <t>舞台監督</t>
    <rPh sb="0" eb="4">
      <t>ブタイカントク</t>
    </rPh>
    <phoneticPr fontId="2"/>
  </si>
  <si>
    <t>照明</t>
    <rPh sb="0" eb="2">
      <t>ショウメイ</t>
    </rPh>
    <phoneticPr fontId="2"/>
  </si>
  <si>
    <t>演出補佐</t>
    <rPh sb="0" eb="2">
      <t>エンシュツ</t>
    </rPh>
    <rPh sb="2" eb="4">
      <t>ホサ</t>
    </rPh>
    <phoneticPr fontId="2"/>
  </si>
  <si>
    <t>音響</t>
    <rPh sb="0" eb="2">
      <t>オンキョウ</t>
    </rPh>
    <phoneticPr fontId="2"/>
  </si>
  <si>
    <t>衣装</t>
    <rPh sb="0" eb="2">
      <t>イショウ</t>
    </rPh>
    <phoneticPr fontId="2"/>
  </si>
  <si>
    <t>小道具</t>
    <rPh sb="0" eb="3">
      <t>コドウグ</t>
    </rPh>
    <phoneticPr fontId="2"/>
  </si>
  <si>
    <t>制作</t>
    <rPh sb="0" eb="2">
      <t>セイサク</t>
    </rPh>
    <phoneticPr fontId="2"/>
  </si>
  <si>
    <t>宣伝美術</t>
    <rPh sb="0" eb="4">
      <t>センデンビジュツ</t>
    </rPh>
    <phoneticPr fontId="2"/>
  </si>
  <si>
    <t>蒼樹とも</t>
    <rPh sb="0" eb="2">
      <t>アオキ</t>
    </rPh>
    <phoneticPr fontId="2"/>
  </si>
  <si>
    <t>〇</t>
    <phoneticPr fontId="2"/>
  </si>
  <si>
    <t>×</t>
    <phoneticPr fontId="2"/>
  </si>
  <si>
    <t>18～</t>
    <phoneticPr fontId="2"/>
  </si>
  <si>
    <t>18:30～</t>
    <phoneticPr fontId="2"/>
  </si>
  <si>
    <t>舞台</t>
    <rPh sb="0" eb="2">
      <t>ブタイ</t>
    </rPh>
    <phoneticPr fontId="2"/>
  </si>
  <si>
    <t>人員</t>
    <rPh sb="0" eb="2">
      <t>ジンイン</t>
    </rPh>
    <phoneticPr fontId="2"/>
  </si>
  <si>
    <t>団体名</t>
    <rPh sb="0" eb="3">
      <t>ダンタイメイ</t>
    </rPh>
    <phoneticPr fontId="2"/>
  </si>
  <si>
    <r>
      <t>爆劇戦線</t>
    </r>
    <r>
      <rPr>
        <sz val="11"/>
        <color theme="1"/>
        <rFont val="Segoe UI Symbol"/>
        <family val="2"/>
      </rPr>
      <t>⚡</t>
    </r>
    <r>
      <rPr>
        <sz val="11"/>
        <color theme="1"/>
        <rFont val="Yu Gothic"/>
        <family val="2"/>
        <scheme val="minor"/>
      </rPr>
      <t>和田謙二</t>
    </r>
    <rPh sb="0" eb="1">
      <t>バク</t>
    </rPh>
    <rPh sb="1" eb="2">
      <t>ゲキ</t>
    </rPh>
    <rPh sb="2" eb="4">
      <t>センセン</t>
    </rPh>
    <rPh sb="5" eb="7">
      <t>ワダ</t>
    </rPh>
    <rPh sb="7" eb="9">
      <t>ケンジ</t>
    </rPh>
    <phoneticPr fontId="2"/>
  </si>
  <si>
    <t>公演名</t>
    <rPh sb="0" eb="3">
      <t>コウエンメイ</t>
    </rPh>
    <phoneticPr fontId="2"/>
  </si>
  <si>
    <t>激突！ヒーローVS魔法少女</t>
    <rPh sb="0" eb="2">
      <t>ゲキトツ</t>
    </rPh>
    <rPh sb="9" eb="13">
      <t>マホウショウジョ</t>
    </rPh>
    <phoneticPr fontId="2"/>
  </si>
  <si>
    <t>小屋入り期間</t>
    <rPh sb="0" eb="3">
      <t>コヤイ</t>
    </rPh>
    <rPh sb="4" eb="6">
      <t>キカン</t>
    </rPh>
    <phoneticPr fontId="2"/>
  </si>
  <si>
    <t>公演期間</t>
    <rPh sb="0" eb="4">
      <t>コウエンキカン</t>
    </rPh>
    <phoneticPr fontId="2"/>
  </si>
  <si>
    <t>公演設定</t>
    <rPh sb="0" eb="4">
      <t>コウエンセッテイ</t>
    </rPh>
    <phoneticPr fontId="2"/>
  </si>
  <si>
    <t>12/11（木） ～ 12/14（日）</t>
    <rPh sb="6" eb="7">
      <t>キ</t>
    </rPh>
    <rPh sb="17" eb="18">
      <t>ニチ</t>
    </rPh>
    <phoneticPr fontId="2"/>
  </si>
  <si>
    <t>12/13（土） ～ 12/14（日）</t>
    <rPh sb="6" eb="7">
      <t>ツチ</t>
    </rPh>
    <rPh sb="17" eb="18">
      <t>ニチ</t>
    </rPh>
    <phoneticPr fontId="2"/>
  </si>
  <si>
    <t>1st : 12/13（土）13:00 / 2st : 12/13（土）17:00</t>
    <rPh sb="12" eb="13">
      <t>ツチ</t>
    </rPh>
    <rPh sb="34" eb="35">
      <t>ツチ</t>
    </rPh>
    <phoneticPr fontId="2"/>
  </si>
  <si>
    <t>3st : 12/14（日）13:00 / 4st : 12/14（日）18:00</t>
    <rPh sb="12" eb="13">
      <t>ニチ</t>
    </rPh>
    <phoneticPr fontId="2"/>
  </si>
  <si>
    <t>緊急連絡先</t>
    <rPh sb="0" eb="4">
      <t>キンキュウレンラク</t>
    </rPh>
    <rPh sb="4" eb="5">
      <t>サキ</t>
    </rPh>
    <phoneticPr fontId="2"/>
  </si>
  <si>
    <t>てんま1/2（企画責任者）</t>
    <rPh sb="7" eb="9">
      <t>キカク</t>
    </rPh>
    <rPh sb="9" eb="12">
      <t>セキニンシャ</t>
    </rPh>
    <phoneticPr fontId="2"/>
  </si>
  <si>
    <t>蒼樹とも（舞台監督）</t>
    <rPh sb="0" eb="2">
      <t>アオキ</t>
    </rPh>
    <rPh sb="5" eb="9">
      <t>ブタイカントク</t>
    </rPh>
    <phoneticPr fontId="2"/>
  </si>
  <si>
    <t>080-6168-0244</t>
    <phoneticPr fontId="2"/>
  </si>
  <si>
    <t>090-1711-3264</t>
    <phoneticPr fontId="2"/>
  </si>
  <si>
    <t>休憩</t>
    <rPh sb="0" eb="2">
      <t>キュウケイ</t>
    </rPh>
    <phoneticPr fontId="2"/>
  </si>
  <si>
    <t>雑務</t>
    <rPh sb="0" eb="2">
      <t>ザツム</t>
    </rPh>
    <phoneticPr fontId="2"/>
  </si>
  <si>
    <t>場当たり</t>
    <rPh sb="0" eb="2">
      <t>バア</t>
    </rPh>
    <phoneticPr fontId="2"/>
  </si>
  <si>
    <t>12/12（金）</t>
    <rPh sb="6" eb="7">
      <t>キン</t>
    </rPh>
    <phoneticPr fontId="2"/>
  </si>
  <si>
    <t>音照</t>
    <rPh sb="0" eb="1">
      <t>オト</t>
    </rPh>
    <rPh sb="1" eb="2">
      <t>ショウ</t>
    </rPh>
    <phoneticPr fontId="2"/>
  </si>
  <si>
    <t>スタッフ</t>
    <phoneticPr fontId="2"/>
  </si>
  <si>
    <t>舞台手直し
制作作業（挟込・パンフ・客席等）</t>
    <rPh sb="0" eb="4">
      <t>ブタイテナオ</t>
    </rPh>
    <rPh sb="6" eb="8">
      <t>セイサク</t>
    </rPh>
    <rPh sb="8" eb="10">
      <t>サギョウ</t>
    </rPh>
    <rPh sb="11" eb="12">
      <t>ハサ</t>
    </rPh>
    <rPh sb="12" eb="13">
      <t>コ</t>
    </rPh>
    <rPh sb="18" eb="20">
      <t>キャクセキ</t>
    </rPh>
    <rPh sb="20" eb="21">
      <t>トウ</t>
    </rPh>
    <phoneticPr fontId="2"/>
  </si>
  <si>
    <t>【役者】（橘、真嶋、大島、安河内、伊筑）
【スタッフ】てんま、蒼樹、菅原、松尾</t>
    <phoneticPr fontId="2"/>
  </si>
  <si>
    <t>調整・場当たり準備</t>
    <rPh sb="0" eb="2">
      <t>チョウセイ</t>
    </rPh>
    <rPh sb="3" eb="5">
      <t>バア</t>
    </rPh>
    <rPh sb="7" eb="9">
      <t>ジュンビ</t>
    </rPh>
    <phoneticPr fontId="2"/>
  </si>
  <si>
    <t>休憩・ゲネ準備
ゲネ前全体集合（16:50）</t>
    <rPh sb="10" eb="11">
      <t>マエ</t>
    </rPh>
    <rPh sb="11" eb="13">
      <t>ゼンタイ</t>
    </rPh>
    <rPh sb="13" eb="15">
      <t>シュウゴウ</t>
    </rPh>
    <phoneticPr fontId="2"/>
  </si>
  <si>
    <t>ゲネ（2h）</t>
    <phoneticPr fontId="2"/>
  </si>
  <si>
    <t>雑務（撮影準備等）</t>
    <rPh sb="0" eb="2">
      <t>ザツム</t>
    </rPh>
    <rPh sb="3" eb="5">
      <t>サツエイ</t>
    </rPh>
    <rPh sb="5" eb="7">
      <t>ジュンビ</t>
    </rPh>
    <rPh sb="7" eb="8">
      <t>トウ</t>
    </rPh>
    <phoneticPr fontId="2"/>
  </si>
  <si>
    <t>トラシュ</t>
    <phoneticPr fontId="2"/>
  </si>
  <si>
    <t>返し練
撤収</t>
    <rPh sb="0" eb="1">
      <t>カエ</t>
    </rPh>
    <rPh sb="2" eb="3">
      <t>ネリ</t>
    </rPh>
    <rPh sb="4" eb="6">
      <t>テッシュウ</t>
    </rPh>
    <phoneticPr fontId="2"/>
  </si>
  <si>
    <t>雑務
撤収</t>
    <rPh sb="0" eb="2">
      <t>ザツム</t>
    </rPh>
    <rPh sb="3" eb="5">
      <t>テッシュウ</t>
    </rPh>
    <phoneticPr fontId="2"/>
  </si>
  <si>
    <t>12/13（土）</t>
    <rPh sb="6" eb="7">
      <t>ツチ</t>
    </rPh>
    <phoneticPr fontId="2"/>
  </si>
  <si>
    <t>アップ・稽古・本番前準備等</t>
    <rPh sb="4" eb="6">
      <t>ケイコ</t>
    </rPh>
    <rPh sb="7" eb="10">
      <t>ホンバンマエ</t>
    </rPh>
    <rPh sb="10" eb="13">
      <t>ジュンビトウ</t>
    </rPh>
    <phoneticPr fontId="2"/>
  </si>
  <si>
    <t>雑務（本番前準備）</t>
    <rPh sb="0" eb="2">
      <t>ザツム</t>
    </rPh>
    <rPh sb="3" eb="6">
      <t>ホンバンマエ</t>
    </rPh>
    <rPh sb="6" eb="8">
      <t>ジュンビ</t>
    </rPh>
    <phoneticPr fontId="2"/>
  </si>
  <si>
    <t>1st（2h）</t>
    <phoneticPr fontId="2"/>
  </si>
  <si>
    <t>休憩・本番準備
本番前集合（12:20）</t>
    <phoneticPr fontId="2"/>
  </si>
  <si>
    <t>1st 客入れ（30m）</t>
    <rPh sb="4" eb="6">
      <t>キャクイ</t>
    </rPh>
    <phoneticPr fontId="2"/>
  </si>
  <si>
    <t>休憩・本番準備</t>
    <rPh sb="0" eb="2">
      <t>キュウケイ</t>
    </rPh>
    <rPh sb="3" eb="7">
      <t>ホンバンジュンビ</t>
    </rPh>
    <phoneticPr fontId="2"/>
  </si>
  <si>
    <t>2st（2h）</t>
    <phoneticPr fontId="2"/>
  </si>
  <si>
    <t>撤収</t>
    <rPh sb="0" eb="2">
      <t>テッシュウ</t>
    </rPh>
    <phoneticPr fontId="2"/>
  </si>
  <si>
    <t>12/14（土）</t>
    <rPh sb="6" eb="7">
      <t>ツチ</t>
    </rPh>
    <phoneticPr fontId="2"/>
  </si>
  <si>
    <t>3st 客入れ（30m）</t>
    <rPh sb="4" eb="6">
      <t>キャクイ</t>
    </rPh>
    <phoneticPr fontId="2"/>
  </si>
  <si>
    <t>2st 客入れ（30m）</t>
    <phoneticPr fontId="2"/>
  </si>
  <si>
    <t>返し練等</t>
    <phoneticPr fontId="2"/>
  </si>
  <si>
    <t>雑務</t>
    <phoneticPr fontId="2"/>
  </si>
  <si>
    <t>3st（2h）</t>
    <phoneticPr fontId="2"/>
  </si>
  <si>
    <t>返し練等</t>
    <rPh sb="0" eb="1">
      <t>カエ</t>
    </rPh>
    <rPh sb="2" eb="3">
      <t>ネリ</t>
    </rPh>
    <rPh sb="3" eb="4">
      <t>トウ</t>
    </rPh>
    <phoneticPr fontId="2"/>
  </si>
  <si>
    <t>全体写真
返し等</t>
    <rPh sb="0" eb="4">
      <t>ゼンタイシャシン</t>
    </rPh>
    <rPh sb="5" eb="6">
      <t>カエ</t>
    </rPh>
    <rPh sb="7" eb="8">
      <t>トウ</t>
    </rPh>
    <phoneticPr fontId="2"/>
  </si>
  <si>
    <t>4st 客入れ（30m）</t>
    <rPh sb="4" eb="6">
      <t>キャクイ</t>
    </rPh>
    <phoneticPr fontId="2"/>
  </si>
  <si>
    <t>4st（2h）</t>
    <phoneticPr fontId="2"/>
  </si>
  <si>
    <t>バラシ</t>
    <phoneticPr fontId="2"/>
  </si>
  <si>
    <r>
      <t>【役者】橘、真嶋、大島、安河内、伊筑、</t>
    </r>
    <r>
      <rPr>
        <sz val="9"/>
        <color rgb="FFFF0000"/>
        <rFont val="Yu Gothic"/>
        <family val="3"/>
        <charset val="128"/>
        <scheme val="minor"/>
      </rPr>
      <t>豊、ベル、萌音、
ゆうぞう</t>
    </r>
    <r>
      <rPr>
        <sz val="9"/>
        <color theme="1"/>
        <rFont val="Yu Gothic"/>
        <family val="3"/>
        <charset val="128"/>
        <scheme val="minor"/>
      </rPr>
      <t xml:space="preserve">
【スタッフ】てんま、蒼樹、菅原、松尾、いろ、雅</t>
    </r>
    <rPh sb="55" eb="56">
      <t>ミヤビ</t>
    </rPh>
    <phoneticPr fontId="2"/>
  </si>
  <si>
    <t>【役者】橘、真嶋、大島、安河内、伊筑、豊、ベル、萌音、
ゆうぞう
【スタッフ】てんま、蒼樹、菅原、松尾、いろ、雅</t>
    <phoneticPr fontId="2"/>
  </si>
  <si>
    <t>【役者】橘、真嶋、大島、安河内、伊筑、豊、ベル、萌音、
ゆうぞう
【スタッフ】てんま、蒼樹、菅原、松尾、いろ、雅、丹波橋</t>
    <phoneticPr fontId="2"/>
  </si>
  <si>
    <r>
      <t>【役者】橘、真嶋、大島、安河内、伊筑、豊、ベル、萌音、
ゆうぞう
【スタッフ】てんま、蒼樹、菅原、松尾、いろ、雅、</t>
    </r>
    <r>
      <rPr>
        <sz val="8"/>
        <color rgb="FFFF0000"/>
        <rFont val="Yu Gothic"/>
        <family val="3"/>
        <charset val="128"/>
        <scheme val="minor"/>
      </rPr>
      <t>丹波橋</t>
    </r>
    <rPh sb="57" eb="60">
      <t>タンババシ</t>
    </rPh>
    <phoneticPr fontId="2"/>
  </si>
  <si>
    <t>【役者】橘、真嶋、大島、安河内、伊筑、豊、ベル、萌音、
ゆうぞう
【スタッフ】てんま、蒼樹、菅原、松尾、いろ、雅</t>
    <rPh sb="55" eb="56">
      <t>ミヤビ</t>
    </rPh>
    <phoneticPr fontId="2"/>
  </si>
  <si>
    <t>【役者】橘、真嶋、大島、安河内、伊筑、豊、ベル、萌音、
ゆうぞう
【スタッフ】てんま、蒼樹、菅原、松尾、丹波橋、いろ、雅</t>
    <rPh sb="52" eb="55">
      <t>タンババシ</t>
    </rPh>
    <phoneticPr fontId="2"/>
  </si>
  <si>
    <t>【役者】橘、真嶋、大島、安河内、伊筑、豊、ベル、萌音、
ゆうぞう
【スタッフ】てんま、蒼樹、菅原、松尾、丹波橋、いろ、雅</t>
    <phoneticPr fontId="2"/>
  </si>
  <si>
    <t>休憩・本番準備
本番前集合（17:20）</t>
    <rPh sb="0" eb="2">
      <t>キュウケイ</t>
    </rPh>
    <rPh sb="3" eb="7">
      <t>ホンバンジュンビ</t>
    </rPh>
    <rPh sb="8" eb="11">
      <t>ホンバンマエ</t>
    </rPh>
    <rPh sb="11" eb="13">
      <t>シュウゴウ</t>
    </rPh>
    <phoneticPr fontId="2"/>
  </si>
  <si>
    <t>休憩・本番準備
本番前集合（16:20）</t>
    <phoneticPr fontId="2"/>
  </si>
  <si>
    <t>前原A僚太</t>
    <phoneticPr fontId="2"/>
  </si>
  <si>
    <t>北風ゆうたろう</t>
    <rPh sb="0" eb="2">
      <t>キタカゼ</t>
    </rPh>
    <phoneticPr fontId="2"/>
  </si>
  <si>
    <t>N碕</t>
    <rPh sb="1" eb="2">
      <t>サキ</t>
    </rPh>
    <phoneticPr fontId="2"/>
  </si>
  <si>
    <t>齋藤大輝</t>
    <rPh sb="0" eb="2">
      <t>サイトウ</t>
    </rPh>
    <rPh sb="2" eb="4">
      <t>タイキ</t>
    </rPh>
    <phoneticPr fontId="2"/>
  </si>
  <si>
    <t>岡田萌</t>
    <phoneticPr fontId="2"/>
  </si>
  <si>
    <t>葵</t>
    <phoneticPr fontId="2"/>
  </si>
  <si>
    <t>わざさん</t>
    <phoneticPr fontId="2"/>
  </si>
  <si>
    <t>前原A僚太</t>
    <rPh sb="0" eb="2">
      <t>マエバラ</t>
    </rPh>
    <rPh sb="3" eb="5">
      <t>リョウタ</t>
    </rPh>
    <phoneticPr fontId="2"/>
  </si>
  <si>
    <t>春田ひなの</t>
    <phoneticPr fontId="2"/>
  </si>
  <si>
    <t>すみほのか</t>
    <phoneticPr fontId="2"/>
  </si>
  <si>
    <t>古川詠介</t>
    <rPh sb="0" eb="2">
      <t>フルカワ</t>
    </rPh>
    <rPh sb="2" eb="3">
      <t>エイ</t>
    </rPh>
    <rPh sb="3" eb="4">
      <t>カイ</t>
    </rPh>
    <phoneticPr fontId="2"/>
  </si>
  <si>
    <t>16～</t>
    <phoneticPr fontId="2"/>
  </si>
  <si>
    <t>10～17:45</t>
    <phoneticPr fontId="2"/>
  </si>
  <si>
    <t>19:30～</t>
    <phoneticPr fontId="2"/>
  </si>
  <si>
    <t>12～</t>
    <phoneticPr fontId="2"/>
  </si>
  <si>
    <t>客出し</t>
    <rPh sb="0" eb="2">
      <t>キャクダ</t>
    </rPh>
    <phoneticPr fontId="2"/>
  </si>
  <si>
    <t>撮影</t>
    <rPh sb="0" eb="2">
      <t>サツエイ</t>
    </rPh>
    <phoneticPr fontId="2"/>
  </si>
  <si>
    <t>5st（2h）</t>
    <phoneticPr fontId="2"/>
  </si>
  <si>
    <t>5st 客入れ（30m）</t>
    <rPh sb="5" eb="6">
      <t>イ</t>
    </rPh>
    <phoneticPr fontId="2"/>
  </si>
  <si>
    <t>客出し</t>
    <phoneticPr fontId="2"/>
  </si>
  <si>
    <t>4st 客入れ（30m）</t>
    <rPh sb="5" eb="6">
      <t>イ</t>
    </rPh>
    <phoneticPr fontId="2"/>
  </si>
  <si>
    <t>アップ・本番準備
本番前集合（10:50）</t>
    <phoneticPr fontId="2"/>
  </si>
  <si>
    <t>休憩
本番準備
本番前集合（14:20）</t>
    <rPh sb="0" eb="2">
      <t>キュウケイ</t>
    </rPh>
    <rPh sb="3" eb="7">
      <t>ホンバンジュンビ</t>
    </rPh>
    <rPh sb="8" eb="13">
      <t>ホンバンマエシュウゴウ</t>
    </rPh>
    <phoneticPr fontId="2"/>
  </si>
  <si>
    <t>3/29（日）</t>
    <rPh sb="5" eb="6">
      <t>ニチ</t>
    </rPh>
    <phoneticPr fontId="2"/>
  </si>
  <si>
    <t>演劇UNIT WAN-WAN BOTAN</t>
    <rPh sb="0" eb="2">
      <t>エンゲキ</t>
    </rPh>
    <phoneticPr fontId="2"/>
  </si>
  <si>
    <t>卒業</t>
    <rPh sb="0" eb="2">
      <t>ソツギョウ</t>
    </rPh>
    <phoneticPr fontId="2"/>
  </si>
  <si>
    <t>3/24（火） ～ 3/29（日）</t>
    <rPh sb="5" eb="6">
      <t>ヒ</t>
    </rPh>
    <rPh sb="15" eb="16">
      <t>ニチ</t>
    </rPh>
    <phoneticPr fontId="2"/>
  </si>
  <si>
    <t>3/28（土） ～ 3/29（日）</t>
    <rPh sb="5" eb="6">
      <t>ツチ</t>
    </rPh>
    <rPh sb="15" eb="16">
      <t>ニチ</t>
    </rPh>
    <phoneticPr fontId="2"/>
  </si>
  <si>
    <t>5st : 3/29（日）15:00</t>
    <rPh sb="11" eb="12">
      <t>ニチ</t>
    </rPh>
    <phoneticPr fontId="2"/>
  </si>
  <si>
    <t>3st : 3/28（土）18:30 / 4st : 3/29（日）11:30</t>
    <rPh sb="11" eb="12">
      <t>ツチ</t>
    </rPh>
    <phoneticPr fontId="2"/>
  </si>
  <si>
    <t>1st : 3/28（土）11:30 / 2st : 3/28（土）15:00</t>
    <rPh sb="11" eb="12">
      <t>ツチ</t>
    </rPh>
    <rPh sb="32" eb="33">
      <t>ツチ</t>
    </rPh>
    <phoneticPr fontId="2"/>
  </si>
  <si>
    <t>3st 客入れ（30m）</t>
    <rPh sb="5" eb="6">
      <t>イ</t>
    </rPh>
    <phoneticPr fontId="2"/>
  </si>
  <si>
    <t>2st 客入れ（30m）</t>
    <rPh sb="5" eb="6">
      <t>イ</t>
    </rPh>
    <phoneticPr fontId="2"/>
  </si>
  <si>
    <t>休憩
トラシュ・本番準備
本番前集合（14:20）</t>
    <rPh sb="0" eb="2">
      <t>キュウケイ</t>
    </rPh>
    <rPh sb="8" eb="12">
      <t>ホンバンジュンビ</t>
    </rPh>
    <rPh sb="13" eb="18">
      <t>ホンバンマエシュウゴウ</t>
    </rPh>
    <phoneticPr fontId="2"/>
  </si>
  <si>
    <t>休憩
トラシュ・本番準備
本番前集合（17:50）</t>
    <rPh sb="0" eb="2">
      <t>キュウケイ</t>
    </rPh>
    <rPh sb="8" eb="12">
      <t>ホンバンジュンビ</t>
    </rPh>
    <rPh sb="13" eb="18">
      <t>ホンバンマエシュウゴウ</t>
    </rPh>
    <phoneticPr fontId="2"/>
  </si>
  <si>
    <t>1st 客入れ（30m）</t>
    <rPh sb="5" eb="6">
      <t>イ</t>
    </rPh>
    <phoneticPr fontId="2"/>
  </si>
  <si>
    <t>返し・撤収</t>
    <rPh sb="0" eb="1">
      <t>カエ</t>
    </rPh>
    <rPh sb="3" eb="5">
      <t>テッシュウ</t>
    </rPh>
    <phoneticPr fontId="2"/>
  </si>
  <si>
    <t>3/28（土）</t>
    <rPh sb="5" eb="6">
      <t>ツチ</t>
    </rPh>
    <phoneticPr fontId="2"/>
  </si>
  <si>
    <t>3/27（金）</t>
    <rPh sb="5" eb="6">
      <t>キン</t>
    </rPh>
    <phoneticPr fontId="2"/>
  </si>
  <si>
    <t>※24〜26のうち1日は終日空けられる</t>
    <phoneticPr fontId="2"/>
  </si>
  <si>
    <t>※火〜木は曜日指定あれば早め参加に調整可</t>
    <phoneticPr fontId="2"/>
  </si>
  <si>
    <t>※残業で遅れる可能性あり</t>
    <phoneticPr fontId="2"/>
  </si>
  <si>
    <t>19～※</t>
    <phoneticPr fontId="2"/>
  </si>
  <si>
    <t>残業で遅れる可能性あり</t>
    <phoneticPr fontId="2"/>
  </si>
  <si>
    <t>19:30～※</t>
    <phoneticPr fontId="2"/>
  </si>
  <si>
    <t>※変動の可能性あり</t>
    <rPh sb="4" eb="7">
      <t>カノウセイ</t>
    </rPh>
    <phoneticPr fontId="2"/>
  </si>
  <si>
    <t>13～19※</t>
    <phoneticPr fontId="2"/>
  </si>
  <si>
    <t>3/24（火）</t>
    <rPh sb="5" eb="6">
      <t>ヒ</t>
    </rPh>
    <phoneticPr fontId="2"/>
  </si>
  <si>
    <t>搬入 / 舞台場ミリ
床シート設営</t>
    <rPh sb="11" eb="12">
      <t>ユカ</t>
    </rPh>
    <rPh sb="15" eb="17">
      <t>セツエイ</t>
    </rPh>
    <phoneticPr fontId="2"/>
  </si>
  <si>
    <t>床シート設置</t>
    <rPh sb="0" eb="1">
      <t>ユカ</t>
    </rPh>
    <rPh sb="4" eb="6">
      <t>セッチ</t>
    </rPh>
    <phoneticPr fontId="2"/>
  </si>
  <si>
    <t>パネル設営</t>
    <rPh sb="3" eb="5">
      <t>セツエイ</t>
    </rPh>
    <phoneticPr fontId="2"/>
  </si>
  <si>
    <t>建具設営
（ドア、窓）</t>
    <phoneticPr fontId="2"/>
  </si>
  <si>
    <t>平台設営</t>
    <rPh sb="0" eb="4">
      <t>ヒラダイセツエイ</t>
    </rPh>
    <phoneticPr fontId="2"/>
  </si>
  <si>
    <t>建具設営
（窓、壁掛け、ロッカー、スロープ）</t>
    <rPh sb="8" eb="10">
      <t>カベカ</t>
    </rPh>
    <phoneticPr fontId="2"/>
  </si>
  <si>
    <t>3/25（水）</t>
    <rPh sb="5" eb="6">
      <t>ミズ</t>
    </rPh>
    <phoneticPr fontId="2"/>
  </si>
  <si>
    <t>3/26（木）</t>
    <rPh sb="5" eb="6">
      <t>モク</t>
    </rPh>
    <phoneticPr fontId="2"/>
  </si>
  <si>
    <t xml:space="preserve">
蒼樹、斎藤</t>
    <rPh sb="1" eb="3">
      <t>アオキ</t>
    </rPh>
    <rPh sb="4" eb="6">
      <t>サイトウ</t>
    </rPh>
    <phoneticPr fontId="2"/>
  </si>
  <si>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蒼樹、斎藤</t>
    </r>
    <phoneticPr fontId="2"/>
  </si>
  <si>
    <r>
      <t>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蒼樹</t>
    </r>
    <phoneticPr fontId="2"/>
  </si>
  <si>
    <r>
      <t>前原、わぎ、すみ
蒼樹、</t>
    </r>
    <r>
      <rPr>
        <sz val="8"/>
        <color rgb="FFFF0000"/>
        <rFont val="Yu Gothic"/>
        <family val="3"/>
        <charset val="128"/>
        <scheme val="minor"/>
      </rPr>
      <t>N碕</t>
    </r>
    <rPh sb="0" eb="2">
      <t>マエバラ</t>
    </rPh>
    <rPh sb="9" eb="11">
      <t>アオキ</t>
    </rPh>
    <rPh sb="13" eb="14">
      <t>サキ</t>
    </rPh>
    <phoneticPr fontId="2"/>
  </si>
  <si>
    <r>
      <t>前原、わぎ、すみ
蒼樹、N碕、</t>
    </r>
    <r>
      <rPr>
        <sz val="8"/>
        <color rgb="FFFF0000"/>
        <rFont val="Yu Gothic"/>
        <family val="3"/>
        <charset val="128"/>
        <scheme val="minor"/>
      </rPr>
      <t>葵</t>
    </r>
    <rPh sb="0" eb="2">
      <t>マエバラ</t>
    </rPh>
    <rPh sb="9" eb="11">
      <t>アオキ</t>
    </rPh>
    <rPh sb="13" eb="14">
      <t>サキ</t>
    </rPh>
    <rPh sb="15" eb="16">
      <t>アオイ</t>
    </rPh>
    <phoneticPr fontId="2"/>
  </si>
  <si>
    <t>前原、わぎ、すみ
蒼樹、N碕、葵</t>
    <phoneticPr fontId="2"/>
  </si>
  <si>
    <t xml:space="preserve">
斎藤</t>
    <rPh sb="1" eb="3">
      <t>サイトウ</t>
    </rPh>
    <phoneticPr fontId="2"/>
  </si>
  <si>
    <r>
      <t xml:space="preserve">
斎藤、</t>
    </r>
    <r>
      <rPr>
        <sz val="8"/>
        <color rgb="FFFF0000"/>
        <rFont val="Yu Gothic"/>
        <family val="3"/>
        <charset val="128"/>
        <scheme val="minor"/>
      </rPr>
      <t>岡田</t>
    </r>
    <rPh sb="4" eb="6">
      <t>オカダ</t>
    </rPh>
    <phoneticPr fontId="2"/>
  </si>
  <si>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斎藤、岡田</t>
    </r>
    <rPh sb="0" eb="2">
      <t>マエハラ</t>
    </rPh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</si>
  <si>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>わぎ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</si>
  <si>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</si>
  <si>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前原、わぎ、すみ
斎藤、岡田、</t>
    </r>
    <r>
      <rPr>
        <sz val="8"/>
        <color rgb="FFFF0000"/>
        <rFont val="Yu Gothic"/>
        <family val="3"/>
        <charset val="128"/>
        <scheme val="minor"/>
      </rPr>
      <t>N碕</t>
    </r>
    <rPh sb="16" eb="17">
      <t>サキ</t>
    </rPh>
    <phoneticPr fontId="2"/>
  </si>
  <si>
    <r>
      <t>前原、わぎ、すみ
斎藤、岡田、N碕、</t>
    </r>
    <r>
      <rPr>
        <sz val="9"/>
        <color rgb="FFFF0000"/>
        <rFont val="Yu Gothic"/>
        <family val="3"/>
        <charset val="128"/>
        <scheme val="minor"/>
      </rPr>
      <t>蒼樹、葵</t>
    </r>
    <rPh sb="18" eb="20">
      <t>アオキ</t>
    </rPh>
    <rPh sb="21" eb="22">
      <t>アオイ</t>
    </rPh>
    <phoneticPr fontId="2"/>
  </si>
  <si>
    <t>前原、わぎ、すみ
斎藤、岡田、N碕、蒼樹、葵</t>
    <phoneticPr fontId="2"/>
  </si>
  <si>
    <r>
      <t xml:space="preserve">
斎藤、</t>
    </r>
    <r>
      <rPr>
        <sz val="8"/>
        <rFont val="Yu Gothic"/>
        <family val="3"/>
        <charset val="128"/>
        <scheme val="minor"/>
      </rPr>
      <t>岡田</t>
    </r>
    <rPh sb="4" eb="6">
      <t>オカダ</t>
    </rPh>
    <phoneticPr fontId="2"/>
  </si>
  <si>
    <r>
      <rPr>
        <sz val="8"/>
        <color rgb="FFFF0000"/>
        <rFont val="Yu Gothic"/>
        <family val="3"/>
        <charset val="128"/>
        <scheme val="minor"/>
      </rPr>
      <t>春田</t>
    </r>
    <r>
      <rPr>
        <sz val="8"/>
        <color theme="1"/>
        <rFont val="Yu Gothic"/>
        <family val="3"/>
        <charset val="128"/>
        <scheme val="minor"/>
      </rPr>
      <t xml:space="preserve">
斎藤、岡田</t>
    </r>
    <rPh sb="0" eb="2">
      <t>ハルタ</t>
    </rPh>
    <phoneticPr fontId="2"/>
  </si>
  <si>
    <r>
      <t>春田、</t>
    </r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斎藤、岡田</t>
    </r>
    <rPh sb="3" eb="5">
      <t>マエハラ</t>
    </rPh>
    <phoneticPr fontId="2"/>
  </si>
  <si>
    <r>
      <t>春田、前原、</t>
    </r>
    <r>
      <rPr>
        <sz val="8"/>
        <color rgb="FFFF0000"/>
        <rFont val="Yu Gothic"/>
        <family val="3"/>
        <charset val="128"/>
        <scheme val="minor"/>
      </rPr>
      <t>わぎ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</si>
  <si>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春田、前原、わぎ、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</si>
  <si>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 xml:space="preserve">わぎ
</t>
    </r>
    <r>
      <rPr>
        <sz val="8"/>
        <rFont val="Yu Gothic"/>
        <family val="3"/>
        <charset val="128"/>
        <scheme val="minor"/>
      </rPr>
      <t>蒼樹、</t>
    </r>
    <r>
      <rPr>
        <strike/>
        <sz val="8"/>
        <rFont val="Yu Gothic"/>
        <family val="3"/>
        <charset val="128"/>
        <scheme val="minor"/>
      </rPr>
      <t>斎藤</t>
    </r>
    <rPh sb="9" eb="11">
      <t>サイトウ</t>
    </rPh>
    <phoneticPr fontId="2"/>
  </si>
  <si>
    <r>
      <rPr>
        <strike/>
        <sz val="8"/>
        <rFont val="Yu Gothic"/>
        <family val="3"/>
        <charset val="128"/>
        <scheme val="minor"/>
      </rPr>
      <t>春田</t>
    </r>
    <r>
      <rPr>
        <sz val="8"/>
        <rFont val="Yu Gothic"/>
        <family val="3"/>
        <charset val="128"/>
        <scheme val="minor"/>
      </rPr>
      <t>、前原、わぎ、すみ
斎藤、岡田、</t>
    </r>
    <r>
      <rPr>
        <sz val="8"/>
        <color rgb="FFFF0000"/>
        <rFont val="Yu Gothic"/>
        <family val="3"/>
        <charset val="128"/>
        <scheme val="minor"/>
      </rPr>
      <t>N碕</t>
    </r>
    <rPh sb="19" eb="20">
      <t>サキ</t>
    </rPh>
    <phoneticPr fontId="2"/>
  </si>
  <si>
    <t>前原、
北風、蒼樹、N碕、斎藤</t>
    <rPh sb="0" eb="2">
      <t>マエハラ</t>
    </rPh>
    <rPh sb="4" eb="6">
      <t>キタカゼ</t>
    </rPh>
    <rPh sb="7" eb="9">
      <t>アオキ</t>
    </rPh>
    <rPh sb="11" eb="12">
      <t>サキ</t>
    </rPh>
    <rPh sb="13" eb="15">
      <t>サイトウ</t>
    </rPh>
    <phoneticPr fontId="2"/>
  </si>
  <si>
    <r>
      <t>前原、</t>
    </r>
    <r>
      <rPr>
        <sz val="10"/>
        <color rgb="FFFF0000"/>
        <rFont val="Yu Gothic"/>
        <family val="3"/>
        <charset val="128"/>
        <scheme val="minor"/>
      </rPr>
      <t>すみ、古川</t>
    </r>
    <r>
      <rPr>
        <sz val="10"/>
        <color theme="1"/>
        <rFont val="Yu Gothic"/>
        <family val="3"/>
        <charset val="128"/>
        <scheme val="minor"/>
      </rPr>
      <t xml:space="preserve">
北風、蒼樹、N碕、斎藤</t>
    </r>
    <rPh sb="6" eb="8">
      <t>フルカワ</t>
    </rPh>
    <phoneticPr fontId="2"/>
  </si>
  <si>
    <r>
      <t>前原、すみ、古川、</t>
    </r>
    <r>
      <rPr>
        <sz val="8"/>
        <color rgb="FFFF0000"/>
        <rFont val="Yu Gothic"/>
        <family val="3"/>
        <charset val="128"/>
        <scheme val="minor"/>
      </rPr>
      <t>春田</t>
    </r>
    <r>
      <rPr>
        <sz val="8"/>
        <color theme="1"/>
        <rFont val="Yu Gothic"/>
        <family val="3"/>
        <charset val="128"/>
        <scheme val="minor"/>
      </rPr>
      <t xml:space="preserve">
北風、蒼樹、N碕、斎藤</t>
    </r>
    <rPh sb="9" eb="11">
      <t>ハルタ</t>
    </rPh>
    <phoneticPr fontId="2"/>
  </si>
  <si>
    <r>
      <t>前原、すみ、古川、春田
北風、蒼樹、N碕、斎藤、</t>
    </r>
    <r>
      <rPr>
        <sz val="8"/>
        <color rgb="FFFF0000"/>
        <rFont val="Yu Gothic"/>
        <family val="3"/>
        <charset val="128"/>
        <scheme val="minor"/>
      </rPr>
      <t>岡田</t>
    </r>
    <rPh sb="24" eb="26">
      <t>オカダ</t>
    </rPh>
    <phoneticPr fontId="2"/>
  </si>
  <si>
    <r>
      <t>前原、すみ、古川、</t>
    </r>
    <r>
      <rPr>
        <strike/>
        <sz val="8"/>
        <rFont val="Yu Gothic"/>
        <family val="3"/>
        <charset val="128"/>
        <scheme val="minor"/>
      </rPr>
      <t>春田</t>
    </r>
    <r>
      <rPr>
        <sz val="8"/>
        <rFont val="Yu Gothic"/>
        <family val="3"/>
        <charset val="128"/>
        <scheme val="minor"/>
      </rPr>
      <t xml:space="preserve">
北風、蒼樹、N碕、斎藤、岡田</t>
    </r>
    <phoneticPr fontId="2"/>
  </si>
  <si>
    <r>
      <t>前原、すみ、古川
北風、蒼樹、N碕、斎藤、
岡田、</t>
    </r>
    <r>
      <rPr>
        <sz val="9"/>
        <color rgb="FFFF0000"/>
        <rFont val="Yu Gothic"/>
        <family val="3"/>
        <charset val="128"/>
        <scheme val="minor"/>
      </rPr>
      <t>葵</t>
    </r>
    <rPh sb="25" eb="26">
      <t>アオイ</t>
    </rPh>
    <phoneticPr fontId="2"/>
  </si>
  <si>
    <t>前原、すみ、古川
北風、蒼樹、N碕、斎藤、
岡田、葵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</si>
</sst>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&quot;月&quot;d&quot;日&quot;;@"/>
    <numFmt numFmtId="177" formatCode="h:mm;@"/>
  </numFmts>
  <fonts count="15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Segoe UI Symbol"/>
      <family val="2"/>
    </font>
    <font>
      <sz val="10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sz val="8"/>
      <color theme="1"/>
      <name val="Yu Gothic"/>
      <family val="3"/>
      <charset val="128"/>
      <scheme val="minor"/>
    </font>
    <font>
      <sz val="8"/>
      <color rgb="FFFF0000"/>
      <name val="Yu Gothic"/>
      <family val="3"/>
      <charset val="128"/>
      <scheme val="minor"/>
    </font>
    <font>
      <sz val="8"/>
      <name val="Yu Gothic"/>
      <family val="3"/>
      <charset val="128"/>
      <scheme val="minor"/>
    </font>
    <font>
      <sz val="9"/>
      <color rgb="FFFF0000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  <font>
      <sz val="10"/>
      <color rgb="FFFF0000"/>
      <name val="Yu Gothic"/>
      <family val="3"/>
      <charset val="128"/>
      <scheme val="minor"/>
    </font>
    <font>
      <strike/>
      <sz val="8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3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176" fontId="0" fillId="2" borderId="1" xfId="0" applyNumberFormat="1" applyFill="1" applyBorder="1" applyAlignmen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20" fontId="0" fillId="0" borderId="0" xfId="0" applyNumberFormat="1"/>
    <xf numFmtId="0" fontId="1" fillId="0" borderId="0" xfId="1">
      <alignment vertical="center"/>
    </xf>
    <xf numFmtId="20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4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0" fillId="0" borderId="0" xfId="0" applyNumberFormat="1" applyAlignment="1">
      <alignment horizontal="left" vertical="center" shrinkToFit="1"/>
    </xf>
    <xf numFmtId="0" fontId="5" fillId="0" borderId="9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177" fontId="0" fillId="2" borderId="8" xfId="0" applyNumberFormat="1" applyFill="1" applyBorder="1" applyAlignment="1">
      <alignment horizontal="left" vertical="center"/>
    </xf>
    <xf numFmtId="177" fontId="0" fillId="2" borderId="2" xfId="0" applyNumberFormat="1" applyFill="1" applyBorder="1" applyAlignment="1">
      <alignment horizontal="left" vertical="center"/>
    </xf>
    <xf numFmtId="177" fontId="0" fillId="2" borderId="5" xfId="0" applyNumberForma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 wrapText="1"/>
    </xf>
    <xf numFmtId="0" fontId="5" fillId="3" borderId="7" xfId="0" applyFont="1" applyFill="1" applyBorder="1" applyAlignment="1">
      <alignment vertical="top" wrapText="1"/>
    </xf>
    <xf numFmtId="0" fontId="5" fillId="0" borderId="6" xfId="0" applyFont="1" applyBorder="1" applyAlignment="1">
      <alignment vertical="top" wrapText="1"/>
    </xf>
    <xf numFmtId="0" fontId="5" fillId="3" borderId="4" xfId="0" applyFont="1" applyFill="1" applyBorder="1" applyAlignment="1">
      <alignment vertical="top" wrapText="1"/>
    </xf>
    <xf numFmtId="0" fontId="5" fillId="0" borderId="9" xfId="0" applyFont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21" xfId="0" applyFont="1" applyBorder="1" applyAlignment="1">
      <alignment vertical="top" wrapText="1"/>
    </xf>
    <xf numFmtId="0" fontId="7" fillId="0" borderId="22" xfId="0" applyFont="1" applyBorder="1" applyAlignment="1">
      <alignment vertical="top" wrapText="1"/>
    </xf>
    <xf numFmtId="0" fontId="7" fillId="0" borderId="23" xfId="0" applyFont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0" fontId="7" fillId="0" borderId="6" xfId="0" applyFont="1" applyBorder="1" applyAlignment="1">
      <alignment vertical="top" wrapText="1"/>
    </xf>
    <xf numFmtId="0" fontId="5" fillId="3" borderId="8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6" fillId="0" borderId="9" xfId="0" applyFont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0" fontId="5" fillId="0" borderId="5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9" fillId="0" borderId="9" xfId="0" applyFont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5" fillId="0" borderId="7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top" wrapText="1"/>
    </xf>
    <xf numFmtId="0" fontId="9" fillId="0" borderId="26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6" fillId="0" borderId="10" xfId="0" applyFont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0" fontId="6" fillId="0" borderId="12" xfId="0" applyFont="1" applyBorder="1" applyAlignment="1">
      <alignment vertical="top" wrapText="1"/>
    </xf>
    <xf numFmtId="0" fontId="5" fillId="0" borderId="41" xfId="0" applyFont="1" applyBorder="1" applyAlignment="1">
      <alignment horizontal="center" vertical="center" wrapText="1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vertical="top" wrapText="1"/>
    </xf>
    <xf numFmtId="0" fontId="9" fillId="0" borderId="12" xfId="0" applyFont="1" applyBorder="1" applyAlignment="1">
      <alignment vertical="top" wrapText="1"/>
    </xf>
    <xf numFmtId="0" fontId="5" fillId="0" borderId="21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43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177" fontId="0" fillId="2" borderId="43" xfId="0" applyNumberFormat="1" applyFill="1" applyBorder="1" applyAlignment="1">
      <alignment horizontal="left" vertical="center"/>
    </xf>
    <xf numFmtId="0" fontId="7" fillId="0" borderId="10" xfId="0" applyFont="1" applyBorder="1" applyAlignment="1">
      <alignment vertical="top" wrapText="1"/>
    </xf>
    <xf numFmtId="0" fontId="7" fillId="0" borderId="11" xfId="0" applyFont="1" applyBorder="1" applyAlignment="1">
      <alignment vertical="top" wrapText="1"/>
    </xf>
    <xf numFmtId="0" fontId="7" fillId="0" borderId="12" xfId="0" applyFont="1" applyBorder="1" applyAlignment="1">
      <alignment vertical="top" wrapText="1"/>
    </xf>
    <xf numFmtId="0" fontId="5" fillId="0" borderId="44" xfId="0" applyFont="1" applyBorder="1" applyAlignment="1">
      <alignment horizontal="center" vertical="center" wrapText="1"/>
    </xf>
    <xf numFmtId="0" fontId="5" fillId="0" borderId="4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/>
    </xf>
    <xf numFmtId="0" fontId="5" fillId="3" borderId="16" xfId="0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 wrapText="1"/>
    </xf>
    <xf numFmtId="0" fontId="5" fillId="0" borderId="36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5" fillId="0" borderId="37" xfId="0" applyFont="1" applyBorder="1" applyAlignment="1">
      <alignment vertical="center" wrapText="1"/>
    </xf>
    <xf numFmtId="0" fontId="5" fillId="0" borderId="33" xfId="0" applyFont="1" applyBorder="1" applyAlignment="1">
      <alignment vertical="center" wrapText="1"/>
    </xf>
    <xf numFmtId="0" fontId="5" fillId="0" borderId="35" xfId="0" applyFont="1" applyBorder="1" applyAlignment="1">
      <alignment vertical="center" wrapText="1"/>
    </xf>
    <xf numFmtId="0" fontId="5" fillId="3" borderId="7" xfId="0" applyFont="1" applyFill="1" applyBorder="1" applyAlignment="1">
      <alignment vertical="center" wrapText="1"/>
    </xf>
    <xf numFmtId="0" fontId="5" fillId="3" borderId="13" xfId="0" applyFont="1" applyFill="1" applyBorder="1" applyAlignment="1">
      <alignment vertical="center" wrapText="1"/>
    </xf>
    <xf numFmtId="0" fontId="5" fillId="3" borderId="14" xfId="0" applyFont="1" applyFill="1" applyBorder="1" applyAlignment="1">
      <alignment vertical="center" wrapText="1"/>
    </xf>
    <xf numFmtId="0" fontId="5" fillId="0" borderId="16" xfId="0" applyFont="1" applyFill="1" applyBorder="1" applyAlignment="1">
      <alignment horizontal="center" vertical="center" wrapText="1"/>
    </xf>
    <xf numFmtId="0" fontId="5" fillId="0" borderId="17" xfId="0" applyFont="1" applyFill="1" applyBorder="1" applyAlignment="1">
      <alignment horizontal="center" vertical="center" wrapText="1"/>
    </xf>
    <xf numFmtId="0" fontId="5" fillId="0" borderId="18" xfId="0" applyFont="1" applyFill="1" applyBorder="1" applyAlignment="1">
      <alignment horizontal="center" vertical="center" wrapText="1"/>
    </xf>
    <xf numFmtId="0" fontId="5" fillId="0" borderId="10" xfId="0" applyFont="1" applyFill="1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0" fontId="5" fillId="0" borderId="46" xfId="0" applyFont="1" applyFill="1" applyBorder="1" applyAlignment="1">
      <alignment horizontal="center" vertical="center" wrapText="1"/>
    </xf>
    <xf numFmtId="0" fontId="5" fillId="0" borderId="12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vertical="top" wrapText="1"/>
    </xf>
    <xf numFmtId="0" fontId="9" fillId="0" borderId="48" xfId="0" applyFont="1" applyBorder="1" applyAlignment="1">
      <alignment vertical="top" wrapText="1"/>
    </xf>
  </cellXfs>
  <cellStyles count="2">
    <cellStyle name="標準" xfId="0" builtinId="0"/>
    <cellStyle name="標準 2" xfId="1" xr:uid="{8B983879-BD1F-4AC7-B2DA-C1AE70645B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</xdr:colOff>
      <xdr:row>9</xdr:row>
      <xdr:rowOff>236220</xdr:rowOff>
    </xdr:from>
    <xdr:to>
      <xdr:col>7</xdr:col>
      <xdr:colOff>266700</xdr:colOff>
      <xdr:row>9</xdr:row>
      <xdr:rowOff>243840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26D391D-525D-C0CF-D136-DD821FAF5763}"/>
            </a:ext>
          </a:extLst>
        </xdr:cNvPr>
        <xdr:cNvGrpSpPr/>
      </xdr:nvGrpSpPr>
      <xdr:grpSpPr>
        <a:xfrm>
          <a:off x="579120" y="2306320"/>
          <a:ext cx="1656080" cy="7620"/>
          <a:chOff x="853440" y="2072640"/>
          <a:chExt cx="166878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9F85CDEC-B905-B28A-0080-263FE6E0CF3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9D2D6E56-43E5-3539-37BB-C5EFA1CE7B3A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9</xdr:row>
      <xdr:rowOff>190500</xdr:rowOff>
    </xdr:from>
    <xdr:to>
      <xdr:col>37</xdr:col>
      <xdr:colOff>259080</xdr:colOff>
      <xdr:row>9</xdr:row>
      <xdr:rowOff>198120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A4682B89-9BF4-4E85-A29D-5640EC01017B}"/>
            </a:ext>
          </a:extLst>
        </xdr:cNvPr>
        <xdr:cNvGrpSpPr/>
      </xdr:nvGrpSpPr>
      <xdr:grpSpPr>
        <a:xfrm>
          <a:off x="8953500" y="2260600"/>
          <a:ext cx="1656080" cy="7620"/>
          <a:chOff x="853440" y="2072640"/>
          <a:chExt cx="1668780" cy="7620"/>
        </a:xfrm>
      </xdr:grpSpPr>
      <xdr:cxnSp macro="">
        <xdr:nvCxnSpPr>
          <xdr:cNvPr id="48" name="直線矢印コネクタ 47">
            <a:extLst>
              <a:ext uri="{FF2B5EF4-FFF2-40B4-BE49-F238E27FC236}">
                <a16:creationId xmlns:a16="http://schemas.microsoft.com/office/drawing/2014/main" id="{09946F43-ED34-4CC1-58F5-4220CE25EA5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" name="直線矢印コネクタ 66">
            <a:extLst>
              <a:ext uri="{FF2B5EF4-FFF2-40B4-BE49-F238E27FC236}">
                <a16:creationId xmlns:a16="http://schemas.microsoft.com/office/drawing/2014/main" id="{D617A0BD-7437-633D-33C9-9D0E8287223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19</xdr:row>
      <xdr:rowOff>215900</xdr:rowOff>
    </xdr:from>
    <xdr:to>
      <xdr:col>7</xdr:col>
      <xdr:colOff>259080</xdr:colOff>
      <xdr:row>19</xdr:row>
      <xdr:rowOff>223520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E2AAC9A9-58D4-46EB-B2A6-A62938AC5D1C}"/>
            </a:ext>
          </a:extLst>
        </xdr:cNvPr>
        <xdr:cNvGrpSpPr/>
      </xdr:nvGrpSpPr>
      <xdr:grpSpPr>
        <a:xfrm>
          <a:off x="571500" y="5727700"/>
          <a:ext cx="1656080" cy="7620"/>
          <a:chOff x="853440" y="2072640"/>
          <a:chExt cx="166878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24DC1E48-6A07-AED8-4C49-180F6202A8B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0165916F-0344-CBBC-8E36-3F7FB9DE695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9</xdr:row>
      <xdr:rowOff>215900</xdr:rowOff>
    </xdr:from>
    <xdr:to>
      <xdr:col>31</xdr:col>
      <xdr:colOff>236220</xdr:colOff>
      <xdr:row>9</xdr:row>
      <xdr:rowOff>223520</xdr:rowOff>
    </xdr:to>
    <xdr:grpSp>
      <xdr:nvGrpSpPr>
        <xdr:cNvPr id="107" name="グループ化 106">
          <a:extLst>
            <a:ext uri="{FF2B5EF4-FFF2-40B4-BE49-F238E27FC236}">
              <a16:creationId xmlns:a16="http://schemas.microsoft.com/office/drawing/2014/main" id="{04F8D95E-94E6-4E27-A238-F64CF89F14B2}"/>
            </a:ext>
          </a:extLst>
        </xdr:cNvPr>
        <xdr:cNvGrpSpPr/>
      </xdr:nvGrpSpPr>
      <xdr:grpSpPr>
        <a:xfrm>
          <a:off x="2247900" y="2286000"/>
          <a:ext cx="6662420" cy="7620"/>
          <a:chOff x="853440" y="2072640"/>
          <a:chExt cx="6515347" cy="7620"/>
        </a:xfrm>
      </xdr:grpSpPr>
      <xdr:cxnSp macro="">
        <xdr:nvCxnSpPr>
          <xdr:cNvPr id="108" name="直線矢印コネクタ 107">
            <a:extLst>
              <a:ext uri="{FF2B5EF4-FFF2-40B4-BE49-F238E27FC236}">
                <a16:creationId xmlns:a16="http://schemas.microsoft.com/office/drawing/2014/main" id="{14F137CE-100F-5F4B-42F8-5D6300F45120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9" name="直線矢印コネクタ 108">
            <a:extLst>
              <a:ext uri="{FF2B5EF4-FFF2-40B4-BE49-F238E27FC236}">
                <a16:creationId xmlns:a16="http://schemas.microsoft.com/office/drawing/2014/main" id="{A103CCA1-D885-8C7C-2B91-2A752B5A8DFA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19</xdr:row>
      <xdr:rowOff>215900</xdr:rowOff>
    </xdr:from>
    <xdr:to>
      <xdr:col>31</xdr:col>
      <xdr:colOff>236220</xdr:colOff>
      <xdr:row>19</xdr:row>
      <xdr:rowOff>223520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A7832CB8-CF28-4363-9DC8-8B6FBFCF0132}"/>
            </a:ext>
          </a:extLst>
        </xdr:cNvPr>
        <xdr:cNvGrpSpPr/>
      </xdr:nvGrpSpPr>
      <xdr:grpSpPr>
        <a:xfrm>
          <a:off x="2247900" y="5727700"/>
          <a:ext cx="6662420" cy="7620"/>
          <a:chOff x="853440" y="2072640"/>
          <a:chExt cx="6515347" cy="7620"/>
        </a:xfrm>
      </xdr:grpSpPr>
      <xdr:cxnSp macro="">
        <xdr:nvCxnSpPr>
          <xdr:cNvPr id="111" name="直線矢印コネクタ 110">
            <a:extLst>
              <a:ext uri="{FF2B5EF4-FFF2-40B4-BE49-F238E27FC236}">
                <a16:creationId xmlns:a16="http://schemas.microsoft.com/office/drawing/2014/main" id="{83881530-5383-175F-8986-31CA5FF5A1F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2" name="直線矢印コネクタ 111">
            <a:extLst>
              <a:ext uri="{FF2B5EF4-FFF2-40B4-BE49-F238E27FC236}">
                <a16:creationId xmlns:a16="http://schemas.microsoft.com/office/drawing/2014/main" id="{296475FF-39AC-11F9-F598-40913F57D436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19</xdr:row>
      <xdr:rowOff>190500</xdr:rowOff>
    </xdr:from>
    <xdr:to>
      <xdr:col>37</xdr:col>
      <xdr:colOff>259080</xdr:colOff>
      <xdr:row>19</xdr:row>
      <xdr:rowOff>198120</xdr:rowOff>
    </xdr:to>
    <xdr:grpSp>
      <xdr:nvGrpSpPr>
        <xdr:cNvPr id="113" name="グループ化 112">
          <a:extLst>
            <a:ext uri="{FF2B5EF4-FFF2-40B4-BE49-F238E27FC236}">
              <a16:creationId xmlns:a16="http://schemas.microsoft.com/office/drawing/2014/main" id="{8FEF6DED-3152-40EF-9F89-D4E1CB2F37FA}"/>
            </a:ext>
          </a:extLst>
        </xdr:cNvPr>
        <xdr:cNvGrpSpPr/>
      </xdr:nvGrpSpPr>
      <xdr:grpSpPr>
        <a:xfrm>
          <a:off x="8953500" y="5702300"/>
          <a:ext cx="1656080" cy="7620"/>
          <a:chOff x="853440" y="2072640"/>
          <a:chExt cx="1668780" cy="7620"/>
        </a:xfrm>
      </xdr:grpSpPr>
      <xdr:cxnSp macro="">
        <xdr:nvCxnSpPr>
          <xdr:cNvPr id="114" name="直線矢印コネクタ 113">
            <a:extLst>
              <a:ext uri="{FF2B5EF4-FFF2-40B4-BE49-F238E27FC236}">
                <a16:creationId xmlns:a16="http://schemas.microsoft.com/office/drawing/2014/main" id="{7FE2E618-8076-C49F-9BB3-4214A32C4D36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5" name="直線矢印コネクタ 114">
            <a:extLst>
              <a:ext uri="{FF2B5EF4-FFF2-40B4-BE49-F238E27FC236}">
                <a16:creationId xmlns:a16="http://schemas.microsoft.com/office/drawing/2014/main" id="{B157C4B2-0BD8-4682-53C1-7B101649667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29</xdr:row>
      <xdr:rowOff>190500</xdr:rowOff>
    </xdr:from>
    <xdr:to>
      <xdr:col>7</xdr:col>
      <xdr:colOff>259080</xdr:colOff>
      <xdr:row>29</xdr:row>
      <xdr:rowOff>198120</xdr:rowOff>
    </xdr:to>
    <xdr:grpSp>
      <xdr:nvGrpSpPr>
        <xdr:cNvPr id="116" name="グループ化 115">
          <a:extLst>
            <a:ext uri="{FF2B5EF4-FFF2-40B4-BE49-F238E27FC236}">
              <a16:creationId xmlns:a16="http://schemas.microsoft.com/office/drawing/2014/main" id="{D27B2ACE-60AF-4197-9421-D6FA3D3AEFF5}"/>
            </a:ext>
          </a:extLst>
        </xdr:cNvPr>
        <xdr:cNvGrpSpPr/>
      </xdr:nvGrpSpPr>
      <xdr:grpSpPr>
        <a:xfrm>
          <a:off x="571500" y="9144000"/>
          <a:ext cx="1656080" cy="7620"/>
          <a:chOff x="853440" y="2072640"/>
          <a:chExt cx="1668780" cy="7620"/>
        </a:xfrm>
      </xdr:grpSpPr>
      <xdr:cxnSp macro="">
        <xdr:nvCxnSpPr>
          <xdr:cNvPr id="117" name="直線矢印コネクタ 116">
            <a:extLst>
              <a:ext uri="{FF2B5EF4-FFF2-40B4-BE49-F238E27FC236}">
                <a16:creationId xmlns:a16="http://schemas.microsoft.com/office/drawing/2014/main" id="{FEA9DBE4-C8FB-B89E-5087-53DDD0DBF022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直線矢印コネクタ 117">
            <a:extLst>
              <a:ext uri="{FF2B5EF4-FFF2-40B4-BE49-F238E27FC236}">
                <a16:creationId xmlns:a16="http://schemas.microsoft.com/office/drawing/2014/main" id="{73875187-E0DD-C099-1847-C2E41D2BC1B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29</xdr:row>
      <xdr:rowOff>190500</xdr:rowOff>
    </xdr:from>
    <xdr:to>
      <xdr:col>37</xdr:col>
      <xdr:colOff>109220</xdr:colOff>
      <xdr:row>29</xdr:row>
      <xdr:rowOff>198120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566787CD-0EDD-4CB1-B4D4-11407772F329}"/>
            </a:ext>
          </a:extLst>
        </xdr:cNvPr>
        <xdr:cNvGrpSpPr/>
      </xdr:nvGrpSpPr>
      <xdr:grpSpPr>
        <a:xfrm>
          <a:off x="2247900" y="9144000"/>
          <a:ext cx="8211820" cy="7620"/>
          <a:chOff x="853440" y="2072640"/>
          <a:chExt cx="8030544" cy="7620"/>
        </a:xfrm>
      </xdr:grpSpPr>
      <xdr:cxnSp macro="">
        <xdr:nvCxnSpPr>
          <xdr:cNvPr id="120" name="直線矢印コネクタ 119">
            <a:extLst>
              <a:ext uri="{FF2B5EF4-FFF2-40B4-BE49-F238E27FC236}">
                <a16:creationId xmlns:a16="http://schemas.microsoft.com/office/drawing/2014/main" id="{09229E31-8A6A-4543-3AB5-9F76ACB05AA5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1" name="直線矢印コネクタ 120">
            <a:extLst>
              <a:ext uri="{FF2B5EF4-FFF2-40B4-BE49-F238E27FC236}">
                <a16:creationId xmlns:a16="http://schemas.microsoft.com/office/drawing/2014/main" id="{2C60B39B-9265-2093-9977-81F04A5F3BBB}"/>
              </a:ext>
            </a:extLst>
          </xdr:cNvPr>
          <xdr:cNvCxnSpPr/>
        </xdr:nvCxnSpPr>
        <xdr:spPr>
          <a:xfrm>
            <a:off x="7238064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39</xdr:row>
      <xdr:rowOff>215900</xdr:rowOff>
    </xdr:from>
    <xdr:to>
      <xdr:col>31</xdr:col>
      <xdr:colOff>214923</xdr:colOff>
      <xdr:row>39</xdr:row>
      <xdr:rowOff>223520</xdr:rowOff>
    </xdr:to>
    <xdr:grpSp>
      <xdr:nvGrpSpPr>
        <xdr:cNvPr id="122" name="グループ化 121">
          <a:extLst>
            <a:ext uri="{FF2B5EF4-FFF2-40B4-BE49-F238E27FC236}">
              <a16:creationId xmlns:a16="http://schemas.microsoft.com/office/drawing/2014/main" id="{9AEA200C-AF5F-44E3-B0DA-C4EB0A4FAB38}"/>
            </a:ext>
          </a:extLst>
        </xdr:cNvPr>
        <xdr:cNvGrpSpPr/>
      </xdr:nvGrpSpPr>
      <xdr:grpSpPr>
        <a:xfrm>
          <a:off x="3924300" y="12611100"/>
          <a:ext cx="4964723" cy="7620"/>
          <a:chOff x="2493270" y="2072640"/>
          <a:chExt cx="5111490" cy="7620"/>
        </a:xfrm>
      </xdr:grpSpPr>
      <xdr:cxnSp macro="">
        <xdr:nvCxnSpPr>
          <xdr:cNvPr id="123" name="直線矢印コネクタ 122">
            <a:extLst>
              <a:ext uri="{FF2B5EF4-FFF2-40B4-BE49-F238E27FC236}">
                <a16:creationId xmlns:a16="http://schemas.microsoft.com/office/drawing/2014/main" id="{F4C31EB5-8117-5025-2F2A-981E22F4CD95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4" name="直線矢印コネクタ 123">
            <a:extLst>
              <a:ext uri="{FF2B5EF4-FFF2-40B4-BE49-F238E27FC236}">
                <a16:creationId xmlns:a16="http://schemas.microsoft.com/office/drawing/2014/main" id="{2CF7FB00-16B3-8987-7ED9-E04E8E59CDE9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0</xdr:colOff>
      <xdr:row>40</xdr:row>
      <xdr:rowOff>180340</xdr:rowOff>
    </xdr:from>
    <xdr:to>
      <xdr:col>37</xdr:col>
      <xdr:colOff>259080</xdr:colOff>
      <xdr:row>40</xdr:row>
      <xdr:rowOff>187960</xdr:rowOff>
    </xdr:to>
    <xdr:grpSp>
      <xdr:nvGrpSpPr>
        <xdr:cNvPr id="65" name="グループ化 64">
          <a:extLst>
            <a:ext uri="{FF2B5EF4-FFF2-40B4-BE49-F238E27FC236}">
              <a16:creationId xmlns:a16="http://schemas.microsoft.com/office/drawing/2014/main" id="{7BD44007-5A36-403B-9A0A-99A6F2F0A6A3}"/>
            </a:ext>
          </a:extLst>
        </xdr:cNvPr>
        <xdr:cNvGrpSpPr/>
      </xdr:nvGrpSpPr>
      <xdr:grpSpPr>
        <a:xfrm>
          <a:off x="8953500" y="13020040"/>
          <a:ext cx="1656080" cy="7620"/>
          <a:chOff x="853440" y="2072640"/>
          <a:chExt cx="1668780" cy="7620"/>
        </a:xfrm>
      </xdr:grpSpPr>
      <xdr:cxnSp macro="">
        <xdr:nvCxnSpPr>
          <xdr:cNvPr id="66" name="直線矢印コネクタ 65">
            <a:extLst>
              <a:ext uri="{FF2B5EF4-FFF2-40B4-BE49-F238E27FC236}">
                <a16:creationId xmlns:a16="http://schemas.microsoft.com/office/drawing/2014/main" id="{13E777DF-8081-F7F6-ABF1-C4A3E127F509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" name="直線矢印コネクタ 66">
            <a:extLst>
              <a:ext uri="{FF2B5EF4-FFF2-40B4-BE49-F238E27FC236}">
                <a16:creationId xmlns:a16="http://schemas.microsoft.com/office/drawing/2014/main" id="{572615C1-4784-DF92-95F0-17B33AEC405D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30</xdr:row>
      <xdr:rowOff>228600</xdr:rowOff>
    </xdr:from>
    <xdr:to>
      <xdr:col>37</xdr:col>
      <xdr:colOff>259080</xdr:colOff>
      <xdr:row>30</xdr:row>
      <xdr:rowOff>236220</xdr:rowOff>
    </xdr:to>
    <xdr:grpSp>
      <xdr:nvGrpSpPr>
        <xdr:cNvPr id="68" name="グループ化 67">
          <a:extLst>
            <a:ext uri="{FF2B5EF4-FFF2-40B4-BE49-F238E27FC236}">
              <a16:creationId xmlns:a16="http://schemas.microsoft.com/office/drawing/2014/main" id="{28446947-B535-48D4-B25A-629522E74E20}"/>
            </a:ext>
          </a:extLst>
        </xdr:cNvPr>
        <xdr:cNvGrpSpPr/>
      </xdr:nvGrpSpPr>
      <xdr:grpSpPr>
        <a:xfrm>
          <a:off x="8953500" y="9626600"/>
          <a:ext cx="1656080" cy="7620"/>
          <a:chOff x="853440" y="2072640"/>
          <a:chExt cx="1668780" cy="7620"/>
        </a:xfrm>
      </xdr:grpSpPr>
      <xdr:cxnSp macro="">
        <xdr:nvCxnSpPr>
          <xdr:cNvPr id="69" name="直線矢印コネクタ 68">
            <a:extLst>
              <a:ext uri="{FF2B5EF4-FFF2-40B4-BE49-F238E27FC236}">
                <a16:creationId xmlns:a16="http://schemas.microsoft.com/office/drawing/2014/main" id="{E5674F8B-6AE5-0305-B540-1BC88740C9C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直線矢印コネクタ 69">
            <a:extLst>
              <a:ext uri="{FF2B5EF4-FFF2-40B4-BE49-F238E27FC236}">
                <a16:creationId xmlns:a16="http://schemas.microsoft.com/office/drawing/2014/main" id="{CD442447-3991-D126-710B-18B47442C991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40</xdr:row>
      <xdr:rowOff>190500</xdr:rowOff>
    </xdr:from>
    <xdr:to>
      <xdr:col>19</xdr:col>
      <xdr:colOff>214923</xdr:colOff>
      <xdr:row>40</xdr:row>
      <xdr:rowOff>198120</xdr:rowOff>
    </xdr:to>
    <xdr:grpSp>
      <xdr:nvGrpSpPr>
        <xdr:cNvPr id="71" name="グループ化 70">
          <a:extLst>
            <a:ext uri="{FF2B5EF4-FFF2-40B4-BE49-F238E27FC236}">
              <a16:creationId xmlns:a16="http://schemas.microsoft.com/office/drawing/2014/main" id="{606EADD0-AB81-48A0-9619-C48F5A9E0E34}"/>
            </a:ext>
          </a:extLst>
        </xdr:cNvPr>
        <xdr:cNvGrpSpPr/>
      </xdr:nvGrpSpPr>
      <xdr:grpSpPr>
        <a:xfrm>
          <a:off x="571500" y="13030200"/>
          <a:ext cx="4964723" cy="7620"/>
          <a:chOff x="2493270" y="2072640"/>
          <a:chExt cx="5111490" cy="7620"/>
        </a:xfrm>
      </xdr:grpSpPr>
      <xdr:cxnSp macro="">
        <xdr:nvCxnSpPr>
          <xdr:cNvPr id="72" name="直線矢印コネクタ 71">
            <a:extLst>
              <a:ext uri="{FF2B5EF4-FFF2-40B4-BE49-F238E27FC236}">
                <a16:creationId xmlns:a16="http://schemas.microsoft.com/office/drawing/2014/main" id="{E10C45D5-119D-F9F9-95F0-CFD3EF86AFCF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3" name="直線矢印コネクタ 72">
            <a:extLst>
              <a:ext uri="{FF2B5EF4-FFF2-40B4-BE49-F238E27FC236}">
                <a16:creationId xmlns:a16="http://schemas.microsoft.com/office/drawing/2014/main" id="{132E75D0-98CF-CA7F-6D3B-DB26BF1EDF85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198120</xdr:rowOff>
    </xdr:from>
    <xdr:to>
      <xdr:col>25</xdr:col>
      <xdr:colOff>259080</xdr:colOff>
      <xdr:row>40</xdr:row>
      <xdr:rowOff>205740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43ACE832-63D6-45B4-8730-274DE0E92F64}"/>
            </a:ext>
          </a:extLst>
        </xdr:cNvPr>
        <xdr:cNvGrpSpPr/>
      </xdr:nvGrpSpPr>
      <xdr:grpSpPr>
        <a:xfrm>
          <a:off x="5600700" y="13037820"/>
          <a:ext cx="1656080" cy="7620"/>
          <a:chOff x="853440" y="2072640"/>
          <a:chExt cx="1668780" cy="7620"/>
        </a:xfrm>
      </xdr:grpSpPr>
      <xdr:cxnSp macro="">
        <xdr:nvCxnSpPr>
          <xdr:cNvPr id="75" name="直線矢印コネクタ 74">
            <a:extLst>
              <a:ext uri="{FF2B5EF4-FFF2-40B4-BE49-F238E27FC236}">
                <a16:creationId xmlns:a16="http://schemas.microsoft.com/office/drawing/2014/main" id="{E9DD6FE3-9F35-FFE7-997D-272ACA9E36E8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直線矢印コネクタ 75">
            <a:extLst>
              <a:ext uri="{FF2B5EF4-FFF2-40B4-BE49-F238E27FC236}">
                <a16:creationId xmlns:a16="http://schemas.microsoft.com/office/drawing/2014/main" id="{F681C88F-6C1C-572C-4ACC-E7B652C64EC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20</xdr:row>
      <xdr:rowOff>205740</xdr:rowOff>
    </xdr:from>
    <xdr:to>
      <xdr:col>37</xdr:col>
      <xdr:colOff>274320</xdr:colOff>
      <xdr:row>20</xdr:row>
      <xdr:rowOff>213360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73213C45-7FCD-4482-A7C5-862D2D7C2623}"/>
            </a:ext>
          </a:extLst>
        </xdr:cNvPr>
        <xdr:cNvGrpSpPr/>
      </xdr:nvGrpSpPr>
      <xdr:grpSpPr>
        <a:xfrm>
          <a:off x="7277100" y="6162040"/>
          <a:ext cx="3347720" cy="7620"/>
          <a:chOff x="853440" y="2072640"/>
          <a:chExt cx="3375660" cy="7620"/>
        </a:xfrm>
      </xdr:grpSpPr>
      <xdr:cxnSp macro="">
        <xdr:nvCxnSpPr>
          <xdr:cNvPr id="78" name="直線矢印コネクタ 77">
            <a:extLst>
              <a:ext uri="{FF2B5EF4-FFF2-40B4-BE49-F238E27FC236}">
                <a16:creationId xmlns:a16="http://schemas.microsoft.com/office/drawing/2014/main" id="{0027F1DC-E788-F8A7-5E71-584A8A56961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9" name="直線矢印コネクタ 78">
            <a:extLst>
              <a:ext uri="{FF2B5EF4-FFF2-40B4-BE49-F238E27FC236}">
                <a16:creationId xmlns:a16="http://schemas.microsoft.com/office/drawing/2014/main" id="{8D71355B-58E9-D5D9-E89C-9FA6EA9E70B1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30</xdr:row>
      <xdr:rowOff>205740</xdr:rowOff>
    </xdr:from>
    <xdr:to>
      <xdr:col>13</xdr:col>
      <xdr:colOff>274320</xdr:colOff>
      <xdr:row>30</xdr:row>
      <xdr:rowOff>213360</xdr:rowOff>
    </xdr:to>
    <xdr:grpSp>
      <xdr:nvGrpSpPr>
        <xdr:cNvPr id="80" name="グループ化 79">
          <a:extLst>
            <a:ext uri="{FF2B5EF4-FFF2-40B4-BE49-F238E27FC236}">
              <a16:creationId xmlns:a16="http://schemas.microsoft.com/office/drawing/2014/main" id="{10880396-A85B-4096-BD17-EE8CEA36844E}"/>
            </a:ext>
          </a:extLst>
        </xdr:cNvPr>
        <xdr:cNvGrpSpPr/>
      </xdr:nvGrpSpPr>
      <xdr:grpSpPr>
        <a:xfrm>
          <a:off x="571500" y="9603740"/>
          <a:ext cx="3347720" cy="7620"/>
          <a:chOff x="853440" y="2072640"/>
          <a:chExt cx="3375660" cy="7620"/>
        </a:xfrm>
      </xdr:grpSpPr>
      <xdr:cxnSp macro="">
        <xdr:nvCxnSpPr>
          <xdr:cNvPr id="81" name="直線矢印コネクタ 80">
            <a:extLst>
              <a:ext uri="{FF2B5EF4-FFF2-40B4-BE49-F238E27FC236}">
                <a16:creationId xmlns:a16="http://schemas.microsoft.com/office/drawing/2014/main" id="{7D5C7D54-B0E3-386C-6D3D-0D86E4EFDAC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" name="直線矢印コネクタ 81">
            <a:extLst>
              <a:ext uri="{FF2B5EF4-FFF2-40B4-BE49-F238E27FC236}">
                <a16:creationId xmlns:a16="http://schemas.microsoft.com/office/drawing/2014/main" id="{D560FB49-395F-215C-1147-5987CEB09594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30</xdr:row>
      <xdr:rowOff>198120</xdr:rowOff>
    </xdr:from>
    <xdr:to>
      <xdr:col>19</xdr:col>
      <xdr:colOff>259080</xdr:colOff>
      <xdr:row>30</xdr:row>
      <xdr:rowOff>205740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2CF3EA2C-5984-438C-8ACE-D097CB0EAEEE}"/>
            </a:ext>
          </a:extLst>
        </xdr:cNvPr>
        <xdr:cNvGrpSpPr/>
      </xdr:nvGrpSpPr>
      <xdr:grpSpPr>
        <a:xfrm>
          <a:off x="3924300" y="9596120"/>
          <a:ext cx="1656080" cy="7620"/>
          <a:chOff x="853440" y="2072640"/>
          <a:chExt cx="1668780" cy="7620"/>
        </a:xfrm>
      </xdr:grpSpPr>
      <xdr:cxnSp macro="">
        <xdr:nvCxnSpPr>
          <xdr:cNvPr id="84" name="直線矢印コネクタ 83">
            <a:extLst>
              <a:ext uri="{FF2B5EF4-FFF2-40B4-BE49-F238E27FC236}">
                <a16:creationId xmlns:a16="http://schemas.microsoft.com/office/drawing/2014/main" id="{3AF3E4AB-15C4-273B-8105-048DB7A6D57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直線矢印コネクタ 84">
            <a:extLst>
              <a:ext uri="{FF2B5EF4-FFF2-40B4-BE49-F238E27FC236}">
                <a16:creationId xmlns:a16="http://schemas.microsoft.com/office/drawing/2014/main" id="{61E03FAF-C376-88B7-31A1-93E3882BE30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30</xdr:row>
      <xdr:rowOff>228600</xdr:rowOff>
    </xdr:from>
    <xdr:to>
      <xdr:col>25</xdr:col>
      <xdr:colOff>259080</xdr:colOff>
      <xdr:row>30</xdr:row>
      <xdr:rowOff>236220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0989322E-7842-4432-991A-9E65D150DE95}"/>
            </a:ext>
          </a:extLst>
        </xdr:cNvPr>
        <xdr:cNvGrpSpPr/>
      </xdr:nvGrpSpPr>
      <xdr:grpSpPr>
        <a:xfrm>
          <a:off x="5600700" y="9626600"/>
          <a:ext cx="1656080" cy="7620"/>
          <a:chOff x="853440" y="2072640"/>
          <a:chExt cx="1668780" cy="7620"/>
        </a:xfrm>
      </xdr:grpSpPr>
      <xdr:cxnSp macro="">
        <xdr:nvCxnSpPr>
          <xdr:cNvPr id="87" name="直線矢印コネクタ 86">
            <a:extLst>
              <a:ext uri="{FF2B5EF4-FFF2-40B4-BE49-F238E27FC236}">
                <a16:creationId xmlns:a16="http://schemas.microsoft.com/office/drawing/2014/main" id="{413CB68C-59D8-2E7E-5D0C-AAD8D27E014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" name="直線矢印コネクタ 87">
            <a:extLst>
              <a:ext uri="{FF2B5EF4-FFF2-40B4-BE49-F238E27FC236}">
                <a16:creationId xmlns:a16="http://schemas.microsoft.com/office/drawing/2014/main" id="{D7277C78-64FE-F687-B791-528009122B8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10</xdr:row>
      <xdr:rowOff>190500</xdr:rowOff>
    </xdr:from>
    <xdr:to>
      <xdr:col>37</xdr:col>
      <xdr:colOff>214923</xdr:colOff>
      <xdr:row>10</xdr:row>
      <xdr:rowOff>198120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7AEB2BE0-AE33-46DF-B8AD-FEB38F13557D}"/>
            </a:ext>
          </a:extLst>
        </xdr:cNvPr>
        <xdr:cNvGrpSpPr/>
      </xdr:nvGrpSpPr>
      <xdr:grpSpPr>
        <a:xfrm>
          <a:off x="5600700" y="2705100"/>
          <a:ext cx="4964723" cy="7620"/>
          <a:chOff x="2493270" y="2072640"/>
          <a:chExt cx="5111490" cy="7620"/>
        </a:xfrm>
      </xdr:grpSpPr>
      <xdr:cxnSp macro="">
        <xdr:nvCxnSpPr>
          <xdr:cNvPr id="90" name="直線矢印コネクタ 89">
            <a:extLst>
              <a:ext uri="{FF2B5EF4-FFF2-40B4-BE49-F238E27FC236}">
                <a16:creationId xmlns:a16="http://schemas.microsoft.com/office/drawing/2014/main" id="{D5E8F1C2-2547-6C66-761A-A1B75E7FEF84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" name="直線矢印コネクタ 90">
            <a:extLst>
              <a:ext uri="{FF2B5EF4-FFF2-40B4-BE49-F238E27FC236}">
                <a16:creationId xmlns:a16="http://schemas.microsoft.com/office/drawing/2014/main" id="{772C8A4D-EBCA-DFF6-0607-21EB7F0B67D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10</xdr:row>
      <xdr:rowOff>213360</xdr:rowOff>
    </xdr:from>
    <xdr:to>
      <xdr:col>13</xdr:col>
      <xdr:colOff>231140</xdr:colOff>
      <xdr:row>10</xdr:row>
      <xdr:rowOff>220980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F79987A0-CE02-4684-AE01-06234B3D02AC}"/>
            </a:ext>
          </a:extLst>
        </xdr:cNvPr>
        <xdr:cNvGrpSpPr/>
      </xdr:nvGrpSpPr>
      <xdr:grpSpPr>
        <a:xfrm>
          <a:off x="591820" y="2727960"/>
          <a:ext cx="3284220" cy="7620"/>
          <a:chOff x="853440" y="2072640"/>
          <a:chExt cx="337566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B69D3423-C65F-1B69-5166-1E1C1F904761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904FA6F4-C4FC-721C-FAD6-D2D99B5FC583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228600</xdr:rowOff>
    </xdr:from>
    <xdr:to>
      <xdr:col>7</xdr:col>
      <xdr:colOff>259080</xdr:colOff>
      <xdr:row>20</xdr:row>
      <xdr:rowOff>236220</xdr:rowOff>
    </xdr:to>
    <xdr:grpSp>
      <xdr:nvGrpSpPr>
        <xdr:cNvPr id="95" name="グループ化 94">
          <a:extLst>
            <a:ext uri="{FF2B5EF4-FFF2-40B4-BE49-F238E27FC236}">
              <a16:creationId xmlns:a16="http://schemas.microsoft.com/office/drawing/2014/main" id="{3FE14350-BA4E-4FEF-ACAD-794E56277A01}"/>
            </a:ext>
          </a:extLst>
        </xdr:cNvPr>
        <xdr:cNvGrpSpPr/>
      </xdr:nvGrpSpPr>
      <xdr:grpSpPr>
        <a:xfrm>
          <a:off x="571500" y="6184900"/>
          <a:ext cx="1656080" cy="7620"/>
          <a:chOff x="853440" y="2072640"/>
          <a:chExt cx="1668780" cy="7620"/>
        </a:xfrm>
      </xdr:grpSpPr>
      <xdr:cxnSp macro="">
        <xdr:nvCxnSpPr>
          <xdr:cNvPr id="96" name="直線矢印コネクタ 95">
            <a:extLst>
              <a:ext uri="{FF2B5EF4-FFF2-40B4-BE49-F238E27FC236}">
                <a16:creationId xmlns:a16="http://schemas.microsoft.com/office/drawing/2014/main" id="{A409EAC8-A592-7E69-4D30-32489067CB8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" name="直線矢印コネクタ 96">
            <a:extLst>
              <a:ext uri="{FF2B5EF4-FFF2-40B4-BE49-F238E27FC236}">
                <a16:creationId xmlns:a16="http://schemas.microsoft.com/office/drawing/2014/main" id="{F3388769-07A8-08DD-159B-74EFF1CE78E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20</xdr:row>
      <xdr:rowOff>228600</xdr:rowOff>
    </xdr:from>
    <xdr:to>
      <xdr:col>13</xdr:col>
      <xdr:colOff>259080</xdr:colOff>
      <xdr:row>20</xdr:row>
      <xdr:rowOff>236220</xdr:rowOff>
    </xdr:to>
    <xdr:grpSp>
      <xdr:nvGrpSpPr>
        <xdr:cNvPr id="98" name="グループ化 97">
          <a:extLst>
            <a:ext uri="{FF2B5EF4-FFF2-40B4-BE49-F238E27FC236}">
              <a16:creationId xmlns:a16="http://schemas.microsoft.com/office/drawing/2014/main" id="{25412952-FBC1-4B32-AA54-F2FCA89A00FC}"/>
            </a:ext>
          </a:extLst>
        </xdr:cNvPr>
        <xdr:cNvGrpSpPr/>
      </xdr:nvGrpSpPr>
      <xdr:grpSpPr>
        <a:xfrm>
          <a:off x="2247900" y="6184900"/>
          <a:ext cx="1656080" cy="7620"/>
          <a:chOff x="853440" y="2072640"/>
          <a:chExt cx="1668780" cy="7620"/>
        </a:xfrm>
      </xdr:grpSpPr>
      <xdr:cxnSp macro="">
        <xdr:nvCxnSpPr>
          <xdr:cNvPr id="99" name="直線矢印コネクタ 98">
            <a:extLst>
              <a:ext uri="{FF2B5EF4-FFF2-40B4-BE49-F238E27FC236}">
                <a16:creationId xmlns:a16="http://schemas.microsoft.com/office/drawing/2014/main" id="{D34D4FC4-5114-AC08-A803-2E7F05FA2FF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直線矢印コネクタ 99">
            <a:extLst>
              <a:ext uri="{FF2B5EF4-FFF2-40B4-BE49-F238E27FC236}">
                <a16:creationId xmlns:a16="http://schemas.microsoft.com/office/drawing/2014/main" id="{BB986999-0735-8E00-037B-4043F8DA9D9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20</xdr:row>
      <xdr:rowOff>228600</xdr:rowOff>
    </xdr:from>
    <xdr:to>
      <xdr:col>19</xdr:col>
      <xdr:colOff>259080</xdr:colOff>
      <xdr:row>20</xdr:row>
      <xdr:rowOff>236220</xdr:rowOff>
    </xdr:to>
    <xdr:grpSp>
      <xdr:nvGrpSpPr>
        <xdr:cNvPr id="101" name="グループ化 100">
          <a:extLst>
            <a:ext uri="{FF2B5EF4-FFF2-40B4-BE49-F238E27FC236}">
              <a16:creationId xmlns:a16="http://schemas.microsoft.com/office/drawing/2014/main" id="{09F9949E-0BC0-48DF-B90E-CF40EBE69AE4}"/>
            </a:ext>
          </a:extLst>
        </xdr:cNvPr>
        <xdr:cNvGrpSpPr/>
      </xdr:nvGrpSpPr>
      <xdr:grpSpPr>
        <a:xfrm>
          <a:off x="3924300" y="6184900"/>
          <a:ext cx="1656080" cy="7620"/>
          <a:chOff x="853440" y="2072640"/>
          <a:chExt cx="1668780" cy="7620"/>
        </a:xfrm>
      </xdr:grpSpPr>
      <xdr:cxnSp macro="">
        <xdr:nvCxnSpPr>
          <xdr:cNvPr id="102" name="直線矢印コネクタ 101">
            <a:extLst>
              <a:ext uri="{FF2B5EF4-FFF2-40B4-BE49-F238E27FC236}">
                <a16:creationId xmlns:a16="http://schemas.microsoft.com/office/drawing/2014/main" id="{814C5D00-2707-6B85-725B-8D57D3D24C1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3" name="直線矢印コネクタ 102">
            <a:extLst>
              <a:ext uri="{FF2B5EF4-FFF2-40B4-BE49-F238E27FC236}">
                <a16:creationId xmlns:a16="http://schemas.microsoft.com/office/drawing/2014/main" id="{350B09E0-EF3B-C867-CFC7-98A1BBB6C7B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30</xdr:row>
      <xdr:rowOff>198120</xdr:rowOff>
    </xdr:from>
    <xdr:to>
      <xdr:col>19</xdr:col>
      <xdr:colOff>259080</xdr:colOff>
      <xdr:row>30</xdr:row>
      <xdr:rowOff>205740</xdr:rowOff>
    </xdr:to>
    <xdr:grpSp>
      <xdr:nvGrpSpPr>
        <xdr:cNvPr id="41" name="グループ化 40">
          <a:extLst>
            <a:ext uri="{FF2B5EF4-FFF2-40B4-BE49-F238E27FC236}">
              <a16:creationId xmlns:a16="http://schemas.microsoft.com/office/drawing/2014/main" id="{6481534B-23EA-4592-A2B0-CB00FA07B6E4}"/>
            </a:ext>
          </a:extLst>
        </xdr:cNvPr>
        <xdr:cNvGrpSpPr/>
      </xdr:nvGrpSpPr>
      <xdr:grpSpPr>
        <a:xfrm>
          <a:off x="3924300" y="9596120"/>
          <a:ext cx="1656080" cy="7620"/>
          <a:chOff x="853440" y="2072640"/>
          <a:chExt cx="1668780" cy="7620"/>
        </a:xfrm>
      </xdr:grpSpPr>
      <xdr:cxnSp macro="">
        <xdr:nvCxnSpPr>
          <xdr:cNvPr id="42" name="直線矢印コネクタ 41">
            <a:extLst>
              <a:ext uri="{FF2B5EF4-FFF2-40B4-BE49-F238E27FC236}">
                <a16:creationId xmlns:a16="http://schemas.microsoft.com/office/drawing/2014/main" id="{96EDE994-9098-A219-35AE-B4B066433716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3" name="直線矢印コネクタ 42">
            <a:extLst>
              <a:ext uri="{FF2B5EF4-FFF2-40B4-BE49-F238E27FC236}">
                <a16:creationId xmlns:a16="http://schemas.microsoft.com/office/drawing/2014/main" id="{7E654686-2CB9-6C82-76B2-80D1AAA7AF5B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30</xdr:row>
      <xdr:rowOff>205740</xdr:rowOff>
    </xdr:from>
    <xdr:to>
      <xdr:col>13</xdr:col>
      <xdr:colOff>274320</xdr:colOff>
      <xdr:row>30</xdr:row>
      <xdr:rowOff>213360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1D13EE61-F926-432D-8600-62FED079082F}"/>
            </a:ext>
          </a:extLst>
        </xdr:cNvPr>
        <xdr:cNvGrpSpPr/>
      </xdr:nvGrpSpPr>
      <xdr:grpSpPr>
        <a:xfrm>
          <a:off x="571500" y="9603740"/>
          <a:ext cx="3347720" cy="7620"/>
          <a:chOff x="853440" y="2072640"/>
          <a:chExt cx="3375660" cy="7620"/>
        </a:xfrm>
      </xdr:grpSpPr>
      <xdr:cxnSp macro="">
        <xdr:nvCxnSpPr>
          <xdr:cNvPr id="48" name="直線矢印コネクタ 47">
            <a:extLst>
              <a:ext uri="{FF2B5EF4-FFF2-40B4-BE49-F238E27FC236}">
                <a16:creationId xmlns:a16="http://schemas.microsoft.com/office/drawing/2014/main" id="{BB1E2B17-97C5-AA10-2972-E823112B2BC8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9" name="直線矢印コネクタ 48">
            <a:extLst>
              <a:ext uri="{FF2B5EF4-FFF2-40B4-BE49-F238E27FC236}">
                <a16:creationId xmlns:a16="http://schemas.microsoft.com/office/drawing/2014/main" id="{9B9F0A7A-E3F8-ED5B-F6FC-C3CA756CB27D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172720</xdr:colOff>
      <xdr:row>40</xdr:row>
      <xdr:rowOff>193040</xdr:rowOff>
    </xdr:from>
    <xdr:to>
      <xdr:col>32</xdr:col>
      <xdr:colOff>5080</xdr:colOff>
      <xdr:row>40</xdr:row>
      <xdr:rowOff>200660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D8E5FA18-B20E-4857-A4E2-6CB15470A8C3}"/>
            </a:ext>
          </a:extLst>
        </xdr:cNvPr>
        <xdr:cNvGrpSpPr/>
      </xdr:nvGrpSpPr>
      <xdr:grpSpPr>
        <a:xfrm>
          <a:off x="2420620" y="13032740"/>
          <a:ext cx="6537960" cy="7620"/>
          <a:chOff x="853440" y="2072640"/>
          <a:chExt cx="6751320" cy="7620"/>
        </a:xfrm>
      </xdr:grpSpPr>
      <xdr:cxnSp macro="">
        <xdr:nvCxnSpPr>
          <xdr:cNvPr id="75" name="直線矢印コネクタ 74">
            <a:extLst>
              <a:ext uri="{FF2B5EF4-FFF2-40B4-BE49-F238E27FC236}">
                <a16:creationId xmlns:a16="http://schemas.microsoft.com/office/drawing/2014/main" id="{4360AE8F-0373-BDD4-B538-791778B9488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直線矢印コネクタ 75">
            <a:extLst>
              <a:ext uri="{FF2B5EF4-FFF2-40B4-BE49-F238E27FC236}">
                <a16:creationId xmlns:a16="http://schemas.microsoft.com/office/drawing/2014/main" id="{C4D9DC5D-1312-67E6-5B22-87AE2930303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30</xdr:row>
      <xdr:rowOff>198120</xdr:rowOff>
    </xdr:from>
    <xdr:to>
      <xdr:col>25</xdr:col>
      <xdr:colOff>259080</xdr:colOff>
      <xdr:row>30</xdr:row>
      <xdr:rowOff>205740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1C89C69C-95CB-4F54-8EBE-27110F2CEB77}"/>
            </a:ext>
          </a:extLst>
        </xdr:cNvPr>
        <xdr:cNvGrpSpPr/>
      </xdr:nvGrpSpPr>
      <xdr:grpSpPr>
        <a:xfrm>
          <a:off x="5600700" y="9596120"/>
          <a:ext cx="1656080" cy="7620"/>
          <a:chOff x="853440" y="2072640"/>
          <a:chExt cx="1668780" cy="7620"/>
        </a:xfrm>
      </xdr:grpSpPr>
      <xdr:cxnSp macro="">
        <xdr:nvCxnSpPr>
          <xdr:cNvPr id="78" name="直線矢印コネクタ 77">
            <a:extLst>
              <a:ext uri="{FF2B5EF4-FFF2-40B4-BE49-F238E27FC236}">
                <a16:creationId xmlns:a16="http://schemas.microsoft.com/office/drawing/2014/main" id="{A48D6E1F-8259-B7C4-4BAA-063A6182B67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9" name="直線矢印コネクタ 78">
            <a:extLst>
              <a:ext uri="{FF2B5EF4-FFF2-40B4-BE49-F238E27FC236}">
                <a16:creationId xmlns:a16="http://schemas.microsoft.com/office/drawing/2014/main" id="{7BA21BAE-6B2C-3128-6272-D46B814AEA02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20</xdr:row>
      <xdr:rowOff>205740</xdr:rowOff>
    </xdr:from>
    <xdr:to>
      <xdr:col>37</xdr:col>
      <xdr:colOff>274320</xdr:colOff>
      <xdr:row>20</xdr:row>
      <xdr:rowOff>213360</xdr:rowOff>
    </xdr:to>
    <xdr:grpSp>
      <xdr:nvGrpSpPr>
        <xdr:cNvPr id="80" name="グループ化 79">
          <a:extLst>
            <a:ext uri="{FF2B5EF4-FFF2-40B4-BE49-F238E27FC236}">
              <a16:creationId xmlns:a16="http://schemas.microsoft.com/office/drawing/2014/main" id="{238D5332-7ADD-4811-A6B8-B7DEDF8CA8E3}"/>
            </a:ext>
          </a:extLst>
        </xdr:cNvPr>
        <xdr:cNvGrpSpPr/>
      </xdr:nvGrpSpPr>
      <xdr:grpSpPr>
        <a:xfrm>
          <a:off x="7277100" y="6162040"/>
          <a:ext cx="3347720" cy="7620"/>
          <a:chOff x="853440" y="2072640"/>
          <a:chExt cx="3375660" cy="7620"/>
        </a:xfrm>
      </xdr:grpSpPr>
      <xdr:cxnSp macro="">
        <xdr:nvCxnSpPr>
          <xdr:cNvPr id="81" name="直線矢印コネクタ 80">
            <a:extLst>
              <a:ext uri="{FF2B5EF4-FFF2-40B4-BE49-F238E27FC236}">
                <a16:creationId xmlns:a16="http://schemas.microsoft.com/office/drawing/2014/main" id="{A5A8FDA9-4398-C3D7-1D5F-EF2167D908CE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" name="直線矢印コネクタ 81">
            <a:extLst>
              <a:ext uri="{FF2B5EF4-FFF2-40B4-BE49-F238E27FC236}">
                <a16:creationId xmlns:a16="http://schemas.microsoft.com/office/drawing/2014/main" id="{365FE56A-0146-527D-A218-1AA4A8910F19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20</xdr:row>
      <xdr:rowOff>228600</xdr:rowOff>
    </xdr:from>
    <xdr:to>
      <xdr:col>13</xdr:col>
      <xdr:colOff>259080</xdr:colOff>
      <xdr:row>20</xdr:row>
      <xdr:rowOff>236220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E5FEDE9A-D8F9-480B-9415-B62DB3027F6B}"/>
            </a:ext>
          </a:extLst>
        </xdr:cNvPr>
        <xdr:cNvGrpSpPr/>
      </xdr:nvGrpSpPr>
      <xdr:grpSpPr>
        <a:xfrm>
          <a:off x="2247900" y="6184900"/>
          <a:ext cx="1656080" cy="7620"/>
          <a:chOff x="853440" y="2072640"/>
          <a:chExt cx="1668780" cy="7620"/>
        </a:xfrm>
      </xdr:grpSpPr>
      <xdr:cxnSp macro="">
        <xdr:nvCxnSpPr>
          <xdr:cNvPr id="84" name="直線矢印コネクタ 83">
            <a:extLst>
              <a:ext uri="{FF2B5EF4-FFF2-40B4-BE49-F238E27FC236}">
                <a16:creationId xmlns:a16="http://schemas.microsoft.com/office/drawing/2014/main" id="{20B99D70-43E1-310C-584C-2F80DB7D348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直線矢印コネクタ 84">
            <a:extLst>
              <a:ext uri="{FF2B5EF4-FFF2-40B4-BE49-F238E27FC236}">
                <a16:creationId xmlns:a16="http://schemas.microsoft.com/office/drawing/2014/main" id="{C7924156-B405-242A-97D8-58EEB94F4AB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228600</xdr:rowOff>
    </xdr:from>
    <xdr:to>
      <xdr:col>7</xdr:col>
      <xdr:colOff>259080</xdr:colOff>
      <xdr:row>20</xdr:row>
      <xdr:rowOff>236220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26CAA199-AE12-4535-8323-C92ACD468640}"/>
            </a:ext>
          </a:extLst>
        </xdr:cNvPr>
        <xdr:cNvGrpSpPr/>
      </xdr:nvGrpSpPr>
      <xdr:grpSpPr>
        <a:xfrm>
          <a:off x="571500" y="6184900"/>
          <a:ext cx="1656080" cy="7620"/>
          <a:chOff x="853440" y="2072640"/>
          <a:chExt cx="1668780" cy="7620"/>
        </a:xfrm>
      </xdr:grpSpPr>
      <xdr:cxnSp macro="">
        <xdr:nvCxnSpPr>
          <xdr:cNvPr id="87" name="直線矢印コネクタ 86">
            <a:extLst>
              <a:ext uri="{FF2B5EF4-FFF2-40B4-BE49-F238E27FC236}">
                <a16:creationId xmlns:a16="http://schemas.microsoft.com/office/drawing/2014/main" id="{B2AD3710-1FCC-22BE-3F14-4232CD22D67C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" name="直線矢印コネクタ 87">
            <a:extLst>
              <a:ext uri="{FF2B5EF4-FFF2-40B4-BE49-F238E27FC236}">
                <a16:creationId xmlns:a16="http://schemas.microsoft.com/office/drawing/2014/main" id="{99FF470C-0145-7405-3D9A-034E0972579D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10</xdr:row>
      <xdr:rowOff>190500</xdr:rowOff>
    </xdr:from>
    <xdr:to>
      <xdr:col>37</xdr:col>
      <xdr:colOff>214923</xdr:colOff>
      <xdr:row>10</xdr:row>
      <xdr:rowOff>198120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DF05C935-B79D-4DF0-BFCB-6A67597BC8B9}"/>
            </a:ext>
          </a:extLst>
        </xdr:cNvPr>
        <xdr:cNvGrpSpPr/>
      </xdr:nvGrpSpPr>
      <xdr:grpSpPr>
        <a:xfrm>
          <a:off x="5600700" y="2705100"/>
          <a:ext cx="4964723" cy="7620"/>
          <a:chOff x="2493270" y="2072640"/>
          <a:chExt cx="5111490" cy="7620"/>
        </a:xfrm>
      </xdr:grpSpPr>
      <xdr:cxnSp macro="">
        <xdr:nvCxnSpPr>
          <xdr:cNvPr id="90" name="直線矢印コネクタ 89">
            <a:extLst>
              <a:ext uri="{FF2B5EF4-FFF2-40B4-BE49-F238E27FC236}">
                <a16:creationId xmlns:a16="http://schemas.microsoft.com/office/drawing/2014/main" id="{18B09E9A-FE95-EFC8-9F2F-20DB4B3E3A7E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" name="直線矢印コネクタ 90">
            <a:extLst>
              <a:ext uri="{FF2B5EF4-FFF2-40B4-BE49-F238E27FC236}">
                <a16:creationId xmlns:a16="http://schemas.microsoft.com/office/drawing/2014/main" id="{5E76D29B-2949-E1FE-15E5-04919CEE7D43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10</xdr:row>
      <xdr:rowOff>213360</xdr:rowOff>
    </xdr:from>
    <xdr:to>
      <xdr:col>13</xdr:col>
      <xdr:colOff>231140</xdr:colOff>
      <xdr:row>10</xdr:row>
      <xdr:rowOff>220980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ECE5EDD0-3A88-491B-A4A4-B8C995331A51}"/>
            </a:ext>
          </a:extLst>
        </xdr:cNvPr>
        <xdr:cNvGrpSpPr/>
      </xdr:nvGrpSpPr>
      <xdr:grpSpPr>
        <a:xfrm>
          <a:off x="591820" y="2727960"/>
          <a:ext cx="3284220" cy="7620"/>
          <a:chOff x="853440" y="2072640"/>
          <a:chExt cx="337566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ADCFA438-C102-3437-D059-0F416CECCF1B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DCBB8542-8C3D-DB32-3DA5-8397956CD7F6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20</xdr:row>
      <xdr:rowOff>228600</xdr:rowOff>
    </xdr:from>
    <xdr:to>
      <xdr:col>19</xdr:col>
      <xdr:colOff>259080</xdr:colOff>
      <xdr:row>20</xdr:row>
      <xdr:rowOff>236220</xdr:rowOff>
    </xdr:to>
    <xdr:grpSp>
      <xdr:nvGrpSpPr>
        <xdr:cNvPr id="95" name="グループ化 94">
          <a:extLst>
            <a:ext uri="{FF2B5EF4-FFF2-40B4-BE49-F238E27FC236}">
              <a16:creationId xmlns:a16="http://schemas.microsoft.com/office/drawing/2014/main" id="{4603CA16-C59C-4867-88F9-BFB2F9569599}"/>
            </a:ext>
          </a:extLst>
        </xdr:cNvPr>
        <xdr:cNvGrpSpPr/>
      </xdr:nvGrpSpPr>
      <xdr:grpSpPr>
        <a:xfrm>
          <a:off x="3924300" y="6184900"/>
          <a:ext cx="1656080" cy="7620"/>
          <a:chOff x="853440" y="2072640"/>
          <a:chExt cx="1668780" cy="7620"/>
        </a:xfrm>
      </xdr:grpSpPr>
      <xdr:cxnSp macro="">
        <xdr:nvCxnSpPr>
          <xdr:cNvPr id="96" name="直線矢印コネクタ 95">
            <a:extLst>
              <a:ext uri="{FF2B5EF4-FFF2-40B4-BE49-F238E27FC236}">
                <a16:creationId xmlns:a16="http://schemas.microsoft.com/office/drawing/2014/main" id="{F86A4AA0-FA0A-328F-B5C2-92493D3DEFD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" name="直線矢印コネクタ 96">
            <a:extLst>
              <a:ext uri="{FF2B5EF4-FFF2-40B4-BE49-F238E27FC236}">
                <a16:creationId xmlns:a16="http://schemas.microsoft.com/office/drawing/2014/main" id="{64625020-DAAD-18C2-4AB4-B8D0CBDF475C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50800</xdr:colOff>
      <xdr:row>10</xdr:row>
      <xdr:rowOff>0</xdr:rowOff>
    </xdr:from>
    <xdr:to>
      <xdr:col>37</xdr:col>
      <xdr:colOff>177800</xdr:colOff>
      <xdr:row>10</xdr:row>
      <xdr:rowOff>7620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4FBC4E68-20FD-44F6-8DB2-742CC80DCA32}"/>
            </a:ext>
          </a:extLst>
        </xdr:cNvPr>
        <xdr:cNvGrpSpPr/>
      </xdr:nvGrpSpPr>
      <xdr:grpSpPr>
        <a:xfrm>
          <a:off x="3962400" y="2514600"/>
          <a:ext cx="6553200" cy="7620"/>
          <a:chOff x="853440" y="2072640"/>
          <a:chExt cx="675132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709F4678-0F12-CB18-EF53-B52D723C86A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41130769-D438-DD07-5ACB-0E19B073A89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40640</xdr:colOff>
      <xdr:row>11</xdr:row>
      <xdr:rowOff>182880</xdr:rowOff>
    </xdr:from>
    <xdr:to>
      <xdr:col>37</xdr:col>
      <xdr:colOff>167640</xdr:colOff>
      <xdr:row>11</xdr:row>
      <xdr:rowOff>190500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AC140DB6-7738-4C23-A208-012A9DFE281F}"/>
            </a:ext>
          </a:extLst>
        </xdr:cNvPr>
        <xdr:cNvGrpSpPr/>
      </xdr:nvGrpSpPr>
      <xdr:grpSpPr>
        <a:xfrm>
          <a:off x="3952240" y="3141980"/>
          <a:ext cx="6553200" cy="7620"/>
          <a:chOff x="853440" y="2072640"/>
          <a:chExt cx="675132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14B94D54-694F-7466-7649-B269B9B1A7D0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D6CF9B64-9682-2DE7-3BDD-57556C129C6D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182880</xdr:rowOff>
    </xdr:from>
    <xdr:to>
      <xdr:col>13</xdr:col>
      <xdr:colOff>210820</xdr:colOff>
      <xdr:row>20</xdr:row>
      <xdr:rowOff>190500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A1D303E0-251E-4954-AAC8-784005E9310C}"/>
            </a:ext>
          </a:extLst>
        </xdr:cNvPr>
        <xdr:cNvGrpSpPr/>
      </xdr:nvGrpSpPr>
      <xdr:grpSpPr>
        <a:xfrm>
          <a:off x="558800" y="6139180"/>
          <a:ext cx="3284220" cy="7620"/>
          <a:chOff x="853440" y="2072640"/>
          <a:chExt cx="3375660" cy="7620"/>
        </a:xfrm>
      </xdr:grpSpPr>
      <xdr:cxnSp macro="">
        <xdr:nvCxnSpPr>
          <xdr:cNvPr id="15" name="直線矢印コネクタ 14">
            <a:extLst>
              <a:ext uri="{FF2B5EF4-FFF2-40B4-BE49-F238E27FC236}">
                <a16:creationId xmlns:a16="http://schemas.microsoft.com/office/drawing/2014/main" id="{9C98654B-55DF-76C3-AF1C-6A7B26E92FF6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直線矢印コネクタ 15">
            <a:extLst>
              <a:ext uri="{FF2B5EF4-FFF2-40B4-BE49-F238E27FC236}">
                <a16:creationId xmlns:a16="http://schemas.microsoft.com/office/drawing/2014/main" id="{A62C3CCF-B88B-025C-1B63-5FB10D50935C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60960</xdr:colOff>
      <xdr:row>20</xdr:row>
      <xdr:rowOff>20320</xdr:rowOff>
    </xdr:from>
    <xdr:to>
      <xdr:col>37</xdr:col>
      <xdr:colOff>187960</xdr:colOff>
      <xdr:row>20</xdr:row>
      <xdr:rowOff>27940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6208CC9A-A024-4E77-AAF9-8F8AFF86491E}"/>
            </a:ext>
          </a:extLst>
        </xdr:cNvPr>
        <xdr:cNvGrpSpPr/>
      </xdr:nvGrpSpPr>
      <xdr:grpSpPr>
        <a:xfrm>
          <a:off x="3972560" y="5976620"/>
          <a:ext cx="6553200" cy="7620"/>
          <a:chOff x="853440" y="2072640"/>
          <a:chExt cx="6751320" cy="7620"/>
        </a:xfrm>
      </xdr:grpSpPr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9FB54B4A-7FE7-2601-B061-4343F249C50B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直線矢印コネクタ 18">
            <a:extLst>
              <a:ext uri="{FF2B5EF4-FFF2-40B4-BE49-F238E27FC236}">
                <a16:creationId xmlns:a16="http://schemas.microsoft.com/office/drawing/2014/main" id="{14AFF089-75B3-96B6-97AC-8DF12FF48C0B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60960</xdr:colOff>
      <xdr:row>21</xdr:row>
      <xdr:rowOff>172720</xdr:rowOff>
    </xdr:from>
    <xdr:to>
      <xdr:col>37</xdr:col>
      <xdr:colOff>187960</xdr:colOff>
      <xdr:row>21</xdr:row>
      <xdr:rowOff>180340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BBC22CF4-1E72-4E39-BD2F-8674E7697C5E}"/>
            </a:ext>
          </a:extLst>
        </xdr:cNvPr>
        <xdr:cNvGrpSpPr/>
      </xdr:nvGrpSpPr>
      <xdr:grpSpPr>
        <a:xfrm>
          <a:off x="3972560" y="6573520"/>
          <a:ext cx="6553200" cy="7620"/>
          <a:chOff x="853440" y="2072640"/>
          <a:chExt cx="6751320" cy="7620"/>
        </a:xfrm>
      </xdr:grpSpPr>
      <xdr:cxnSp macro="">
        <xdr:nvCxnSpPr>
          <xdr:cNvPr id="21" name="直線矢印コネクタ 20">
            <a:extLst>
              <a:ext uri="{FF2B5EF4-FFF2-40B4-BE49-F238E27FC236}">
                <a16:creationId xmlns:a16="http://schemas.microsoft.com/office/drawing/2014/main" id="{78320D97-6737-E9F7-24AA-C7EB200B776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" name="直線矢印コネクタ 21">
            <a:extLst>
              <a:ext uri="{FF2B5EF4-FFF2-40B4-BE49-F238E27FC236}">
                <a16:creationId xmlns:a16="http://schemas.microsoft.com/office/drawing/2014/main" id="{ECFAA08E-953A-EE88-C3BE-6547EB14BE8D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81280</xdr:colOff>
      <xdr:row>30</xdr:row>
      <xdr:rowOff>203200</xdr:rowOff>
    </xdr:from>
    <xdr:to>
      <xdr:col>37</xdr:col>
      <xdr:colOff>208280</xdr:colOff>
      <xdr:row>30</xdr:row>
      <xdr:rowOff>210820</xdr:rowOff>
    </xdr:to>
    <xdr:grpSp>
      <xdr:nvGrpSpPr>
        <xdr:cNvPr id="23" name="グループ化 22">
          <a:extLst>
            <a:ext uri="{FF2B5EF4-FFF2-40B4-BE49-F238E27FC236}">
              <a16:creationId xmlns:a16="http://schemas.microsoft.com/office/drawing/2014/main" id="{B85A98FB-85FC-4EA8-8E29-3090700420B3}"/>
            </a:ext>
          </a:extLst>
        </xdr:cNvPr>
        <xdr:cNvGrpSpPr/>
      </xdr:nvGrpSpPr>
      <xdr:grpSpPr>
        <a:xfrm>
          <a:off x="3992880" y="9601200"/>
          <a:ext cx="6553200" cy="7620"/>
          <a:chOff x="853440" y="2072640"/>
          <a:chExt cx="6751320" cy="7620"/>
        </a:xfrm>
      </xdr:grpSpPr>
      <xdr:cxnSp macro="">
        <xdr:nvCxnSpPr>
          <xdr:cNvPr id="24" name="直線矢印コネクタ 23">
            <a:extLst>
              <a:ext uri="{FF2B5EF4-FFF2-40B4-BE49-F238E27FC236}">
                <a16:creationId xmlns:a16="http://schemas.microsoft.com/office/drawing/2014/main" id="{D126B5E8-E267-FBE9-10B5-D80920C32E25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直線矢印コネクタ 24">
            <a:extLst>
              <a:ext uri="{FF2B5EF4-FFF2-40B4-BE49-F238E27FC236}">
                <a16:creationId xmlns:a16="http://schemas.microsoft.com/office/drawing/2014/main" id="{685B4031-9219-593C-3007-4048BF0137E3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29</xdr:row>
      <xdr:rowOff>436880</xdr:rowOff>
    </xdr:from>
    <xdr:to>
      <xdr:col>7</xdr:col>
      <xdr:colOff>241300</xdr:colOff>
      <xdr:row>29</xdr:row>
      <xdr:rowOff>444500</xdr:rowOff>
    </xdr:to>
    <xdr:grpSp>
      <xdr:nvGrpSpPr>
        <xdr:cNvPr id="29" name="グループ化 28">
          <a:extLst>
            <a:ext uri="{FF2B5EF4-FFF2-40B4-BE49-F238E27FC236}">
              <a16:creationId xmlns:a16="http://schemas.microsoft.com/office/drawing/2014/main" id="{412D1332-183D-4B7F-9DC4-E1658013C086}"/>
            </a:ext>
          </a:extLst>
        </xdr:cNvPr>
        <xdr:cNvGrpSpPr/>
      </xdr:nvGrpSpPr>
      <xdr:grpSpPr>
        <a:xfrm>
          <a:off x="558800" y="9390380"/>
          <a:ext cx="1638300" cy="7620"/>
          <a:chOff x="853440" y="2072640"/>
          <a:chExt cx="1668780" cy="7620"/>
        </a:xfrm>
      </xdr:grpSpPr>
      <xdr:cxnSp macro="">
        <xdr:nvCxnSpPr>
          <xdr:cNvPr id="30" name="直線矢印コネクタ 29">
            <a:extLst>
              <a:ext uri="{FF2B5EF4-FFF2-40B4-BE49-F238E27FC236}">
                <a16:creationId xmlns:a16="http://schemas.microsoft.com/office/drawing/2014/main" id="{181F663D-223D-C21A-DD9F-AC07C897DA92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" name="直線矢印コネクタ 30">
            <a:extLst>
              <a:ext uri="{FF2B5EF4-FFF2-40B4-BE49-F238E27FC236}">
                <a16:creationId xmlns:a16="http://schemas.microsoft.com/office/drawing/2014/main" id="{B9F3DE74-7886-A149-CA76-8CFF6825FA59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40</xdr:row>
      <xdr:rowOff>182880</xdr:rowOff>
    </xdr:from>
    <xdr:to>
      <xdr:col>7</xdr:col>
      <xdr:colOff>241300</xdr:colOff>
      <xdr:row>40</xdr:row>
      <xdr:rowOff>190500</xdr:rowOff>
    </xdr:to>
    <xdr:grpSp>
      <xdr:nvGrpSpPr>
        <xdr:cNvPr id="35" name="グループ化 34">
          <a:extLst>
            <a:ext uri="{FF2B5EF4-FFF2-40B4-BE49-F238E27FC236}">
              <a16:creationId xmlns:a16="http://schemas.microsoft.com/office/drawing/2014/main" id="{23D6E38E-80A1-4DB1-A04F-8C32453B09DD}"/>
            </a:ext>
          </a:extLst>
        </xdr:cNvPr>
        <xdr:cNvGrpSpPr/>
      </xdr:nvGrpSpPr>
      <xdr:grpSpPr>
        <a:xfrm>
          <a:off x="558800" y="13022580"/>
          <a:ext cx="1638300" cy="7620"/>
          <a:chOff x="853440" y="2072640"/>
          <a:chExt cx="1668780" cy="7620"/>
        </a:xfrm>
      </xdr:grpSpPr>
      <xdr:cxnSp macro="">
        <xdr:nvCxnSpPr>
          <xdr:cNvPr id="36" name="直線矢印コネクタ 35">
            <a:extLst>
              <a:ext uri="{FF2B5EF4-FFF2-40B4-BE49-F238E27FC236}">
                <a16:creationId xmlns:a16="http://schemas.microsoft.com/office/drawing/2014/main" id="{D2E98DE1-F7FC-EE1A-247C-0B03A279EDD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7" name="直線矢印コネクタ 36">
            <a:extLst>
              <a:ext uri="{FF2B5EF4-FFF2-40B4-BE49-F238E27FC236}">
                <a16:creationId xmlns:a16="http://schemas.microsoft.com/office/drawing/2014/main" id="{B565E426-B86D-7590-4A0F-0ADC4F713351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40</xdr:row>
      <xdr:rowOff>172720</xdr:rowOff>
    </xdr:from>
    <xdr:to>
      <xdr:col>13</xdr:col>
      <xdr:colOff>241300</xdr:colOff>
      <xdr:row>40</xdr:row>
      <xdr:rowOff>180340</xdr:rowOff>
    </xdr:to>
    <xdr:grpSp>
      <xdr:nvGrpSpPr>
        <xdr:cNvPr id="38" name="グループ化 37">
          <a:extLst>
            <a:ext uri="{FF2B5EF4-FFF2-40B4-BE49-F238E27FC236}">
              <a16:creationId xmlns:a16="http://schemas.microsoft.com/office/drawing/2014/main" id="{6AF19703-9DF5-4E14-850D-E2006E651B29}"/>
            </a:ext>
          </a:extLst>
        </xdr:cNvPr>
        <xdr:cNvGrpSpPr/>
      </xdr:nvGrpSpPr>
      <xdr:grpSpPr>
        <a:xfrm>
          <a:off x="2235200" y="13012420"/>
          <a:ext cx="1638300" cy="7620"/>
          <a:chOff x="853440" y="2072640"/>
          <a:chExt cx="1668780" cy="7620"/>
        </a:xfrm>
      </xdr:grpSpPr>
      <xdr:cxnSp macro="">
        <xdr:nvCxnSpPr>
          <xdr:cNvPr id="39" name="直線矢印コネクタ 38">
            <a:extLst>
              <a:ext uri="{FF2B5EF4-FFF2-40B4-BE49-F238E27FC236}">
                <a16:creationId xmlns:a16="http://schemas.microsoft.com/office/drawing/2014/main" id="{B6C6BA60-BBCB-52ED-5B94-248C50243C6C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直線矢印コネクタ 39">
            <a:extLst>
              <a:ext uri="{FF2B5EF4-FFF2-40B4-BE49-F238E27FC236}">
                <a16:creationId xmlns:a16="http://schemas.microsoft.com/office/drawing/2014/main" id="{5FB7E669-7707-B2F3-D78D-C736184FF7C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40</xdr:row>
      <xdr:rowOff>40640</xdr:rowOff>
    </xdr:from>
    <xdr:to>
      <xdr:col>37</xdr:col>
      <xdr:colOff>241300</xdr:colOff>
      <xdr:row>40</xdr:row>
      <xdr:rowOff>48260</xdr:rowOff>
    </xdr:to>
    <xdr:grpSp>
      <xdr:nvGrpSpPr>
        <xdr:cNvPr id="41" name="グループ化 40">
          <a:extLst>
            <a:ext uri="{FF2B5EF4-FFF2-40B4-BE49-F238E27FC236}">
              <a16:creationId xmlns:a16="http://schemas.microsoft.com/office/drawing/2014/main" id="{14D7B006-B27E-4FED-8F12-C4F90C358AAD}"/>
            </a:ext>
          </a:extLst>
        </xdr:cNvPr>
        <xdr:cNvGrpSpPr/>
      </xdr:nvGrpSpPr>
      <xdr:grpSpPr>
        <a:xfrm>
          <a:off x="8940800" y="12880340"/>
          <a:ext cx="1638300" cy="7620"/>
          <a:chOff x="853440" y="2072640"/>
          <a:chExt cx="1668780" cy="7620"/>
        </a:xfrm>
      </xdr:grpSpPr>
      <xdr:cxnSp macro="">
        <xdr:nvCxnSpPr>
          <xdr:cNvPr id="42" name="直線矢印コネクタ 41">
            <a:extLst>
              <a:ext uri="{FF2B5EF4-FFF2-40B4-BE49-F238E27FC236}">
                <a16:creationId xmlns:a16="http://schemas.microsoft.com/office/drawing/2014/main" id="{2B4A5AE1-01BD-445C-603C-F44A4234B03F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3" name="直線矢印コネクタ 42">
            <a:extLst>
              <a:ext uri="{FF2B5EF4-FFF2-40B4-BE49-F238E27FC236}">
                <a16:creationId xmlns:a16="http://schemas.microsoft.com/office/drawing/2014/main" id="{5E5F962B-9724-D2FE-F7AC-8A6FFB80E1D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41</xdr:row>
      <xdr:rowOff>172720</xdr:rowOff>
    </xdr:from>
    <xdr:to>
      <xdr:col>37</xdr:col>
      <xdr:colOff>241300</xdr:colOff>
      <xdr:row>41</xdr:row>
      <xdr:rowOff>180340</xdr:rowOff>
    </xdr:to>
    <xdr:grpSp>
      <xdr:nvGrpSpPr>
        <xdr:cNvPr id="44" name="グループ化 43">
          <a:extLst>
            <a:ext uri="{FF2B5EF4-FFF2-40B4-BE49-F238E27FC236}">
              <a16:creationId xmlns:a16="http://schemas.microsoft.com/office/drawing/2014/main" id="{758EE269-F169-41CA-85CA-59C03185681F}"/>
            </a:ext>
          </a:extLst>
        </xdr:cNvPr>
        <xdr:cNvGrpSpPr/>
      </xdr:nvGrpSpPr>
      <xdr:grpSpPr>
        <a:xfrm>
          <a:off x="8940800" y="13456920"/>
          <a:ext cx="1638300" cy="7620"/>
          <a:chOff x="853440" y="2072640"/>
          <a:chExt cx="1668780" cy="7620"/>
        </a:xfrm>
      </xdr:grpSpPr>
      <xdr:cxnSp macro="">
        <xdr:nvCxnSpPr>
          <xdr:cNvPr id="45" name="直線矢印コネクタ 44">
            <a:extLst>
              <a:ext uri="{FF2B5EF4-FFF2-40B4-BE49-F238E27FC236}">
                <a16:creationId xmlns:a16="http://schemas.microsoft.com/office/drawing/2014/main" id="{8468CBC0-73FC-BC01-B2DC-1DE40112DBB7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6" name="直線矢印コネクタ 45">
            <a:extLst>
              <a:ext uri="{FF2B5EF4-FFF2-40B4-BE49-F238E27FC236}">
                <a16:creationId xmlns:a16="http://schemas.microsoft.com/office/drawing/2014/main" id="{949ED980-2089-53E8-AA4C-EC7BBAE20272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35169</xdr:colOff>
      <xdr:row>40</xdr:row>
      <xdr:rowOff>46892</xdr:rowOff>
    </xdr:from>
    <xdr:to>
      <xdr:col>31</xdr:col>
      <xdr:colOff>250092</xdr:colOff>
      <xdr:row>40</xdr:row>
      <xdr:rowOff>54512</xdr:rowOff>
    </xdr:to>
    <xdr:grpSp>
      <xdr:nvGrpSpPr>
        <xdr:cNvPr id="50" name="グループ化 49">
          <a:extLst>
            <a:ext uri="{FF2B5EF4-FFF2-40B4-BE49-F238E27FC236}">
              <a16:creationId xmlns:a16="http://schemas.microsoft.com/office/drawing/2014/main" id="{418F8FA7-E9B5-4751-A5B7-75DE95B23C7B}"/>
            </a:ext>
          </a:extLst>
        </xdr:cNvPr>
        <xdr:cNvGrpSpPr/>
      </xdr:nvGrpSpPr>
      <xdr:grpSpPr>
        <a:xfrm>
          <a:off x="3946769" y="12886592"/>
          <a:ext cx="4964723" cy="7620"/>
          <a:chOff x="2493270" y="2072640"/>
          <a:chExt cx="5111490" cy="7620"/>
        </a:xfrm>
      </xdr:grpSpPr>
      <xdr:cxnSp macro="">
        <xdr:nvCxnSpPr>
          <xdr:cNvPr id="51" name="直線矢印コネクタ 50">
            <a:extLst>
              <a:ext uri="{FF2B5EF4-FFF2-40B4-BE49-F238E27FC236}">
                <a16:creationId xmlns:a16="http://schemas.microsoft.com/office/drawing/2014/main" id="{E1042CD6-AA7F-308F-21DC-531998276688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2" name="直線矢印コネクタ 51">
            <a:extLst>
              <a:ext uri="{FF2B5EF4-FFF2-40B4-BE49-F238E27FC236}">
                <a16:creationId xmlns:a16="http://schemas.microsoft.com/office/drawing/2014/main" id="{A16B0E1B-20CC-9B5E-CF3E-605A08D87FF9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46894</xdr:colOff>
      <xdr:row>41</xdr:row>
      <xdr:rowOff>181707</xdr:rowOff>
    </xdr:from>
    <xdr:to>
      <xdr:col>31</xdr:col>
      <xdr:colOff>261817</xdr:colOff>
      <xdr:row>41</xdr:row>
      <xdr:rowOff>189327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AD41F0A9-4019-4D01-BB51-9C2CD7B53375}"/>
            </a:ext>
          </a:extLst>
        </xdr:cNvPr>
        <xdr:cNvGrpSpPr/>
      </xdr:nvGrpSpPr>
      <xdr:grpSpPr>
        <a:xfrm>
          <a:off x="3958494" y="13465907"/>
          <a:ext cx="4964723" cy="7620"/>
          <a:chOff x="2493270" y="2072640"/>
          <a:chExt cx="5111490" cy="7620"/>
        </a:xfrm>
      </xdr:grpSpPr>
      <xdr:cxnSp macro="">
        <xdr:nvCxnSpPr>
          <xdr:cNvPr id="56" name="直線矢印コネクタ 55">
            <a:extLst>
              <a:ext uri="{FF2B5EF4-FFF2-40B4-BE49-F238E27FC236}">
                <a16:creationId xmlns:a16="http://schemas.microsoft.com/office/drawing/2014/main" id="{277D7E25-5A7A-BDDA-16F3-6FE28FB3A5D0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7" name="直線矢印コネクタ 56">
            <a:extLst>
              <a:ext uri="{FF2B5EF4-FFF2-40B4-BE49-F238E27FC236}">
                <a16:creationId xmlns:a16="http://schemas.microsoft.com/office/drawing/2014/main" id="{7BFF9AE7-8DDB-1FFD-FBE2-A6E1D22A5634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101600</xdr:colOff>
      <xdr:row>9</xdr:row>
      <xdr:rowOff>426720</xdr:rowOff>
    </xdr:from>
    <xdr:to>
      <xdr:col>19</xdr:col>
      <xdr:colOff>190305</xdr:colOff>
      <xdr:row>9</xdr:row>
      <xdr:rowOff>434340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883D7C9E-66A6-4E37-98B4-21B508926E68}"/>
            </a:ext>
          </a:extLst>
        </xdr:cNvPr>
        <xdr:cNvGrpSpPr/>
      </xdr:nvGrpSpPr>
      <xdr:grpSpPr>
        <a:xfrm>
          <a:off x="660400" y="2496820"/>
          <a:ext cx="4838505" cy="7620"/>
          <a:chOff x="2493270" y="2072640"/>
          <a:chExt cx="511149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E66AD42D-0E60-9FBA-9407-CE1B52F56CA9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1E1CF0DC-98D7-CBF7-3637-10062D56BC38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81280</xdr:colOff>
      <xdr:row>11</xdr:row>
      <xdr:rowOff>213360</xdr:rowOff>
    </xdr:from>
    <xdr:to>
      <xdr:col>19</xdr:col>
      <xdr:colOff>169985</xdr:colOff>
      <xdr:row>11</xdr:row>
      <xdr:rowOff>220980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7882E242-9121-4148-A8E5-C4FD289346B8}"/>
            </a:ext>
          </a:extLst>
        </xdr:cNvPr>
        <xdr:cNvGrpSpPr/>
      </xdr:nvGrpSpPr>
      <xdr:grpSpPr>
        <a:xfrm>
          <a:off x="640080" y="3172460"/>
          <a:ext cx="4838505" cy="7620"/>
          <a:chOff x="2493270" y="2072640"/>
          <a:chExt cx="511149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CB38E403-A47E-A265-21E8-F77912995719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BE6397D3-2713-8F4E-A285-2B268FBB9597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40640</xdr:colOff>
      <xdr:row>10</xdr:row>
      <xdr:rowOff>203200</xdr:rowOff>
    </xdr:from>
    <xdr:to>
      <xdr:col>31</xdr:col>
      <xdr:colOff>251460</xdr:colOff>
      <xdr:row>10</xdr:row>
      <xdr:rowOff>210820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441E7D30-327C-4743-B0F5-29EF2C873785}"/>
            </a:ext>
          </a:extLst>
        </xdr:cNvPr>
        <xdr:cNvGrpSpPr/>
      </xdr:nvGrpSpPr>
      <xdr:grpSpPr>
        <a:xfrm>
          <a:off x="5628640" y="2717800"/>
          <a:ext cx="3284220" cy="7620"/>
          <a:chOff x="853440" y="2072640"/>
          <a:chExt cx="337566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B3CF237B-3DA0-34E4-A241-AA69B43CC177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4608E794-70EB-1B77-6008-DE52FB0BA0EA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20320</xdr:colOff>
      <xdr:row>10</xdr:row>
      <xdr:rowOff>193040</xdr:rowOff>
    </xdr:from>
    <xdr:to>
      <xdr:col>37</xdr:col>
      <xdr:colOff>261620</xdr:colOff>
      <xdr:row>10</xdr:row>
      <xdr:rowOff>200660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476CBFF5-800C-4A0B-ACC1-F30609EABFF5}"/>
            </a:ext>
          </a:extLst>
        </xdr:cNvPr>
        <xdr:cNvGrpSpPr/>
      </xdr:nvGrpSpPr>
      <xdr:grpSpPr>
        <a:xfrm>
          <a:off x="8961120" y="2707640"/>
          <a:ext cx="1638300" cy="7620"/>
          <a:chOff x="853440" y="2072640"/>
          <a:chExt cx="1668780" cy="7620"/>
        </a:xfrm>
      </xdr:grpSpPr>
      <xdr:cxnSp macro="">
        <xdr:nvCxnSpPr>
          <xdr:cNvPr id="15" name="直線矢印コネクタ 14">
            <a:extLst>
              <a:ext uri="{FF2B5EF4-FFF2-40B4-BE49-F238E27FC236}">
                <a16:creationId xmlns:a16="http://schemas.microsoft.com/office/drawing/2014/main" id="{7E49A1F3-1D54-A1A1-1A83-C8BC2518E422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直線矢印コネクタ 15">
            <a:extLst>
              <a:ext uri="{FF2B5EF4-FFF2-40B4-BE49-F238E27FC236}">
                <a16:creationId xmlns:a16="http://schemas.microsoft.com/office/drawing/2014/main" id="{E04806AF-9DA9-EEEB-A623-CC15A715894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111760</xdr:colOff>
      <xdr:row>20</xdr:row>
      <xdr:rowOff>213360</xdr:rowOff>
    </xdr:from>
    <xdr:to>
      <xdr:col>25</xdr:col>
      <xdr:colOff>238760</xdr:colOff>
      <xdr:row>20</xdr:row>
      <xdr:rowOff>220980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3AEAD1F8-4411-4B41-AF3D-A2FE74CA0F8D}"/>
            </a:ext>
          </a:extLst>
        </xdr:cNvPr>
        <xdr:cNvGrpSpPr/>
      </xdr:nvGrpSpPr>
      <xdr:grpSpPr>
        <a:xfrm>
          <a:off x="670560" y="6169660"/>
          <a:ext cx="6553200" cy="7620"/>
          <a:chOff x="853440" y="2072640"/>
          <a:chExt cx="6751320" cy="7620"/>
        </a:xfrm>
      </xdr:grpSpPr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923A6E65-5882-A439-DABA-37290A7CC7C6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直線矢印コネクタ 18">
            <a:extLst>
              <a:ext uri="{FF2B5EF4-FFF2-40B4-BE49-F238E27FC236}">
                <a16:creationId xmlns:a16="http://schemas.microsoft.com/office/drawing/2014/main" id="{ACDBDD0B-1BFA-25F0-16B8-EE17F5F70763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20320</xdr:colOff>
      <xdr:row>20</xdr:row>
      <xdr:rowOff>203200</xdr:rowOff>
    </xdr:from>
    <xdr:to>
      <xdr:col>31</xdr:col>
      <xdr:colOff>261620</xdr:colOff>
      <xdr:row>20</xdr:row>
      <xdr:rowOff>210820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EFDD8633-F2DB-476A-938F-8FDE890ECB98}"/>
            </a:ext>
          </a:extLst>
        </xdr:cNvPr>
        <xdr:cNvGrpSpPr/>
      </xdr:nvGrpSpPr>
      <xdr:grpSpPr>
        <a:xfrm>
          <a:off x="7284720" y="6159500"/>
          <a:ext cx="1638300" cy="7620"/>
          <a:chOff x="853440" y="2072640"/>
          <a:chExt cx="1668780" cy="7620"/>
        </a:xfrm>
      </xdr:grpSpPr>
      <xdr:cxnSp macro="">
        <xdr:nvCxnSpPr>
          <xdr:cNvPr id="21" name="直線矢印コネクタ 20">
            <a:extLst>
              <a:ext uri="{FF2B5EF4-FFF2-40B4-BE49-F238E27FC236}">
                <a16:creationId xmlns:a16="http://schemas.microsoft.com/office/drawing/2014/main" id="{053824DC-9D31-76E3-60DA-F31A8E727A04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" name="直線矢印コネクタ 21">
            <a:extLst>
              <a:ext uri="{FF2B5EF4-FFF2-40B4-BE49-F238E27FC236}">
                <a16:creationId xmlns:a16="http://schemas.microsoft.com/office/drawing/2014/main" id="{11BA7610-0F0E-B04D-680A-47199EEB1C1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60960</xdr:colOff>
      <xdr:row>30</xdr:row>
      <xdr:rowOff>203200</xdr:rowOff>
    </xdr:from>
    <xdr:to>
      <xdr:col>19</xdr:col>
      <xdr:colOff>149665</xdr:colOff>
      <xdr:row>30</xdr:row>
      <xdr:rowOff>210820</xdr:rowOff>
    </xdr:to>
    <xdr:grpSp>
      <xdr:nvGrpSpPr>
        <xdr:cNvPr id="26" name="グループ化 25">
          <a:extLst>
            <a:ext uri="{FF2B5EF4-FFF2-40B4-BE49-F238E27FC236}">
              <a16:creationId xmlns:a16="http://schemas.microsoft.com/office/drawing/2014/main" id="{BFE5DE02-C9C2-4F2C-BBB3-5A856DA0FB83}"/>
            </a:ext>
          </a:extLst>
        </xdr:cNvPr>
        <xdr:cNvGrpSpPr/>
      </xdr:nvGrpSpPr>
      <xdr:grpSpPr>
        <a:xfrm>
          <a:off x="619760" y="9601200"/>
          <a:ext cx="4838505" cy="7620"/>
          <a:chOff x="2493270" y="2072640"/>
          <a:chExt cx="5111490" cy="7620"/>
        </a:xfrm>
      </xdr:grpSpPr>
      <xdr:cxnSp macro="">
        <xdr:nvCxnSpPr>
          <xdr:cNvPr id="27" name="直線矢印コネクタ 26">
            <a:extLst>
              <a:ext uri="{FF2B5EF4-FFF2-40B4-BE49-F238E27FC236}">
                <a16:creationId xmlns:a16="http://schemas.microsoft.com/office/drawing/2014/main" id="{5EB375C2-8FA3-7C67-F5C3-9ADE035C4437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" name="直線矢印コネクタ 27">
            <a:extLst>
              <a:ext uri="{FF2B5EF4-FFF2-40B4-BE49-F238E27FC236}">
                <a16:creationId xmlns:a16="http://schemas.microsoft.com/office/drawing/2014/main" id="{A5312541-8F49-A669-46C8-0F9AD1DC1B95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40640</xdr:colOff>
      <xdr:row>30</xdr:row>
      <xdr:rowOff>182880</xdr:rowOff>
    </xdr:from>
    <xdr:to>
      <xdr:col>37</xdr:col>
      <xdr:colOff>251460</xdr:colOff>
      <xdr:row>30</xdr:row>
      <xdr:rowOff>190500</xdr:rowOff>
    </xdr:to>
    <xdr:grpSp>
      <xdr:nvGrpSpPr>
        <xdr:cNvPr id="29" name="グループ化 28">
          <a:extLst>
            <a:ext uri="{FF2B5EF4-FFF2-40B4-BE49-F238E27FC236}">
              <a16:creationId xmlns:a16="http://schemas.microsoft.com/office/drawing/2014/main" id="{38F3744A-29AC-4BCA-AC7D-7B919A511D2A}"/>
            </a:ext>
          </a:extLst>
        </xdr:cNvPr>
        <xdr:cNvGrpSpPr/>
      </xdr:nvGrpSpPr>
      <xdr:grpSpPr>
        <a:xfrm>
          <a:off x="7305040" y="9580880"/>
          <a:ext cx="3284220" cy="7620"/>
          <a:chOff x="853440" y="2072640"/>
          <a:chExt cx="3375660" cy="7620"/>
        </a:xfrm>
      </xdr:grpSpPr>
      <xdr:cxnSp macro="">
        <xdr:nvCxnSpPr>
          <xdr:cNvPr id="30" name="直線矢印コネクタ 29">
            <a:extLst>
              <a:ext uri="{FF2B5EF4-FFF2-40B4-BE49-F238E27FC236}">
                <a16:creationId xmlns:a16="http://schemas.microsoft.com/office/drawing/2014/main" id="{1682CDE7-4816-99C3-B710-762537A74ED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" name="直線矢印コネクタ 30">
            <a:extLst>
              <a:ext uri="{FF2B5EF4-FFF2-40B4-BE49-F238E27FC236}">
                <a16:creationId xmlns:a16="http://schemas.microsoft.com/office/drawing/2014/main" id="{6C1F0793-AEB2-7CBE-D18C-8286074EDAA3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</xdr:colOff>
      <xdr:row>9</xdr:row>
      <xdr:rowOff>426720</xdr:rowOff>
    </xdr:from>
    <xdr:to>
      <xdr:col>19</xdr:col>
      <xdr:colOff>180145</xdr:colOff>
      <xdr:row>9</xdr:row>
      <xdr:rowOff>434340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B5C00720-DEB4-42C6-BB91-BA4F6FF811B4}"/>
            </a:ext>
          </a:extLst>
        </xdr:cNvPr>
        <xdr:cNvGrpSpPr/>
      </xdr:nvGrpSpPr>
      <xdr:grpSpPr>
        <a:xfrm>
          <a:off x="660400" y="2529840"/>
          <a:ext cx="4924865" cy="7620"/>
          <a:chOff x="2493270" y="2072640"/>
          <a:chExt cx="511149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8448409E-75B1-CFC4-D5D3-D2C27AC8430C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44D55983-12AD-EB5E-C88A-33E8468C1153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81280</xdr:colOff>
      <xdr:row>11</xdr:row>
      <xdr:rowOff>203200</xdr:rowOff>
    </xdr:from>
    <xdr:to>
      <xdr:col>19</xdr:col>
      <xdr:colOff>169985</xdr:colOff>
      <xdr:row>11</xdr:row>
      <xdr:rowOff>210820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0AC5186-C212-4FDB-8509-A7E6BEF0F671}"/>
            </a:ext>
          </a:extLst>
        </xdr:cNvPr>
        <xdr:cNvGrpSpPr/>
      </xdr:nvGrpSpPr>
      <xdr:grpSpPr>
        <a:xfrm>
          <a:off x="650240" y="3200400"/>
          <a:ext cx="4924865" cy="7620"/>
          <a:chOff x="2493270" y="2072640"/>
          <a:chExt cx="511149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05557742-11C3-334C-2F30-8508D2D8CD4F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B35A4BE9-BCB9-54AC-71B0-FA8AFD85F564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20320</xdr:colOff>
      <xdr:row>10</xdr:row>
      <xdr:rowOff>213360</xdr:rowOff>
    </xdr:from>
    <xdr:to>
      <xdr:col>31</xdr:col>
      <xdr:colOff>231140</xdr:colOff>
      <xdr:row>10</xdr:row>
      <xdr:rowOff>220980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95A858CF-E5DC-48D7-9C5A-457CBD99DA2A}"/>
            </a:ext>
          </a:extLst>
        </xdr:cNvPr>
        <xdr:cNvGrpSpPr/>
      </xdr:nvGrpSpPr>
      <xdr:grpSpPr>
        <a:xfrm>
          <a:off x="5709920" y="2763520"/>
          <a:ext cx="3340100" cy="7620"/>
          <a:chOff x="853440" y="2072640"/>
          <a:chExt cx="337566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70AC5E69-4580-26FB-1ABB-A5DE3DA9FD56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1579CD81-D00B-385D-DDBB-248B21C92C61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10160</xdr:colOff>
      <xdr:row>10</xdr:row>
      <xdr:rowOff>203200</xdr:rowOff>
    </xdr:from>
    <xdr:to>
      <xdr:col>37</xdr:col>
      <xdr:colOff>251460</xdr:colOff>
      <xdr:row>10</xdr:row>
      <xdr:rowOff>210820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5BA37299-8454-4C27-9F9A-08370818D6E4}"/>
            </a:ext>
          </a:extLst>
        </xdr:cNvPr>
        <xdr:cNvGrpSpPr/>
      </xdr:nvGrpSpPr>
      <xdr:grpSpPr>
        <a:xfrm>
          <a:off x="9113520" y="2753360"/>
          <a:ext cx="1663700" cy="7620"/>
          <a:chOff x="853440" y="2072640"/>
          <a:chExt cx="166878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CDDF2EC9-9108-BD36-40B3-EB9E90A1041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E89D3FD6-F49A-A33D-8935-903A7DF75F79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20320</xdr:colOff>
      <xdr:row>20</xdr:row>
      <xdr:rowOff>10160</xdr:rowOff>
    </xdr:from>
    <xdr:to>
      <xdr:col>37</xdr:col>
      <xdr:colOff>261620</xdr:colOff>
      <xdr:row>20</xdr:row>
      <xdr:rowOff>17780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37A69BB4-05D0-47FE-8F79-4965FDDB82C9}"/>
            </a:ext>
          </a:extLst>
        </xdr:cNvPr>
        <xdr:cNvGrpSpPr/>
      </xdr:nvGrpSpPr>
      <xdr:grpSpPr>
        <a:xfrm>
          <a:off x="9123680" y="6024880"/>
          <a:ext cx="1663700" cy="7620"/>
          <a:chOff x="853440" y="2072640"/>
          <a:chExt cx="1668780" cy="7620"/>
        </a:xfrm>
      </xdr:grpSpPr>
      <xdr:cxnSp macro="">
        <xdr:nvCxnSpPr>
          <xdr:cNvPr id="15" name="直線矢印コネクタ 14">
            <a:extLst>
              <a:ext uri="{FF2B5EF4-FFF2-40B4-BE49-F238E27FC236}">
                <a16:creationId xmlns:a16="http://schemas.microsoft.com/office/drawing/2014/main" id="{D20143B0-03DC-F1DE-66B0-F77F1E4DCFE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直線矢印コネクタ 15">
            <a:extLst>
              <a:ext uri="{FF2B5EF4-FFF2-40B4-BE49-F238E27FC236}">
                <a16:creationId xmlns:a16="http://schemas.microsoft.com/office/drawing/2014/main" id="{2A408850-A0F2-45F7-8DEB-F1EE31E9068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30480</xdr:colOff>
      <xdr:row>21</xdr:row>
      <xdr:rowOff>193040</xdr:rowOff>
    </xdr:from>
    <xdr:to>
      <xdr:col>37</xdr:col>
      <xdr:colOff>271780</xdr:colOff>
      <xdr:row>21</xdr:row>
      <xdr:rowOff>200660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AA95A267-42DC-4FEF-8C1C-4140E8C5CE96}"/>
            </a:ext>
          </a:extLst>
        </xdr:cNvPr>
        <xdr:cNvGrpSpPr/>
      </xdr:nvGrpSpPr>
      <xdr:grpSpPr>
        <a:xfrm>
          <a:off x="9133840" y="6654800"/>
          <a:ext cx="1663700" cy="7620"/>
          <a:chOff x="853440" y="2072640"/>
          <a:chExt cx="1668780" cy="7620"/>
        </a:xfrm>
      </xdr:grpSpPr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8BEC2A7E-51EB-DA3C-540B-8E97DB514C4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直線矢印コネクタ 18">
            <a:extLst>
              <a:ext uri="{FF2B5EF4-FFF2-40B4-BE49-F238E27FC236}">
                <a16:creationId xmlns:a16="http://schemas.microsoft.com/office/drawing/2014/main" id="{D1A3632E-1D92-854D-FDDD-9C8F8943BB8E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71120</xdr:colOff>
      <xdr:row>20</xdr:row>
      <xdr:rowOff>193040</xdr:rowOff>
    </xdr:from>
    <xdr:to>
      <xdr:col>32</xdr:col>
      <xdr:colOff>17780</xdr:colOff>
      <xdr:row>20</xdr:row>
      <xdr:rowOff>200660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1E539C74-FDD0-41BD-9527-E20B68EC3689}"/>
            </a:ext>
          </a:extLst>
        </xdr:cNvPr>
        <xdr:cNvGrpSpPr/>
      </xdr:nvGrpSpPr>
      <xdr:grpSpPr>
        <a:xfrm>
          <a:off x="7467600" y="6207760"/>
          <a:ext cx="1653540" cy="7620"/>
          <a:chOff x="853440" y="2072640"/>
          <a:chExt cx="1668780" cy="7620"/>
        </a:xfrm>
      </xdr:grpSpPr>
      <xdr:cxnSp macro="">
        <xdr:nvCxnSpPr>
          <xdr:cNvPr id="21" name="直線矢印コネクタ 20">
            <a:extLst>
              <a:ext uri="{FF2B5EF4-FFF2-40B4-BE49-F238E27FC236}">
                <a16:creationId xmlns:a16="http://schemas.microsoft.com/office/drawing/2014/main" id="{1ED8B932-CCA4-9A2D-5943-2487E02A1815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" name="直線矢印コネクタ 21">
            <a:extLst>
              <a:ext uri="{FF2B5EF4-FFF2-40B4-BE49-F238E27FC236}">
                <a16:creationId xmlns:a16="http://schemas.microsoft.com/office/drawing/2014/main" id="{BDBEAAA9-795B-72C2-0F9A-A77D7791901A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81280</xdr:colOff>
      <xdr:row>20</xdr:row>
      <xdr:rowOff>203200</xdr:rowOff>
    </xdr:from>
    <xdr:to>
      <xdr:col>25</xdr:col>
      <xdr:colOff>208280</xdr:colOff>
      <xdr:row>20</xdr:row>
      <xdr:rowOff>210820</xdr:rowOff>
    </xdr:to>
    <xdr:grpSp>
      <xdr:nvGrpSpPr>
        <xdr:cNvPr id="23" name="グループ化 22">
          <a:extLst>
            <a:ext uri="{FF2B5EF4-FFF2-40B4-BE49-F238E27FC236}">
              <a16:creationId xmlns:a16="http://schemas.microsoft.com/office/drawing/2014/main" id="{5E5B9911-3D64-43F2-A418-70F46CB9E933}"/>
            </a:ext>
          </a:extLst>
        </xdr:cNvPr>
        <xdr:cNvGrpSpPr/>
      </xdr:nvGrpSpPr>
      <xdr:grpSpPr>
        <a:xfrm>
          <a:off x="650240" y="6217920"/>
          <a:ext cx="6670040" cy="7620"/>
          <a:chOff x="853440" y="2072640"/>
          <a:chExt cx="6751320" cy="7620"/>
        </a:xfrm>
      </xdr:grpSpPr>
      <xdr:cxnSp macro="">
        <xdr:nvCxnSpPr>
          <xdr:cNvPr id="24" name="直線矢印コネクタ 23">
            <a:extLst>
              <a:ext uri="{FF2B5EF4-FFF2-40B4-BE49-F238E27FC236}">
                <a16:creationId xmlns:a16="http://schemas.microsoft.com/office/drawing/2014/main" id="{30837CFB-5ED8-8B54-3ED1-E1CB377F7B78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直線矢印コネクタ 24">
            <a:extLst>
              <a:ext uri="{FF2B5EF4-FFF2-40B4-BE49-F238E27FC236}">
                <a16:creationId xmlns:a16="http://schemas.microsoft.com/office/drawing/2014/main" id="{52D60059-551F-B81F-5001-B42FA1FD36D4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40640</xdr:colOff>
      <xdr:row>30</xdr:row>
      <xdr:rowOff>193040</xdr:rowOff>
    </xdr:from>
    <xdr:to>
      <xdr:col>37</xdr:col>
      <xdr:colOff>167640</xdr:colOff>
      <xdr:row>30</xdr:row>
      <xdr:rowOff>200660</xdr:rowOff>
    </xdr:to>
    <xdr:grpSp>
      <xdr:nvGrpSpPr>
        <xdr:cNvPr id="26" name="グループ化 25">
          <a:extLst>
            <a:ext uri="{FF2B5EF4-FFF2-40B4-BE49-F238E27FC236}">
              <a16:creationId xmlns:a16="http://schemas.microsoft.com/office/drawing/2014/main" id="{381BD4CB-A351-4B7D-9683-DD0C74815106}"/>
            </a:ext>
          </a:extLst>
        </xdr:cNvPr>
        <xdr:cNvGrpSpPr/>
      </xdr:nvGrpSpPr>
      <xdr:grpSpPr>
        <a:xfrm>
          <a:off x="4023360" y="9672320"/>
          <a:ext cx="6670040" cy="7620"/>
          <a:chOff x="853440" y="2072640"/>
          <a:chExt cx="6751320" cy="7620"/>
        </a:xfrm>
      </xdr:grpSpPr>
      <xdr:cxnSp macro="">
        <xdr:nvCxnSpPr>
          <xdr:cNvPr id="27" name="直線矢印コネクタ 26">
            <a:extLst>
              <a:ext uri="{FF2B5EF4-FFF2-40B4-BE49-F238E27FC236}">
                <a16:creationId xmlns:a16="http://schemas.microsoft.com/office/drawing/2014/main" id="{186CE970-9A4C-7794-9698-0C304B2EA8F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" name="直線矢印コネクタ 27">
            <a:extLst>
              <a:ext uri="{FF2B5EF4-FFF2-40B4-BE49-F238E27FC236}">
                <a16:creationId xmlns:a16="http://schemas.microsoft.com/office/drawing/2014/main" id="{31950D95-2C22-51C2-4AFB-83FCDB160D79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172720</xdr:colOff>
      <xdr:row>40</xdr:row>
      <xdr:rowOff>193040</xdr:rowOff>
    </xdr:from>
    <xdr:to>
      <xdr:col>32</xdr:col>
      <xdr:colOff>5080</xdr:colOff>
      <xdr:row>40</xdr:row>
      <xdr:rowOff>200660</xdr:rowOff>
    </xdr:to>
    <xdr:grpSp>
      <xdr:nvGrpSpPr>
        <xdr:cNvPr id="29" name="グループ化 28">
          <a:extLst>
            <a:ext uri="{FF2B5EF4-FFF2-40B4-BE49-F238E27FC236}">
              <a16:creationId xmlns:a16="http://schemas.microsoft.com/office/drawing/2014/main" id="{94F73CD7-436F-4B83-9742-4EB23EAAE3FC}"/>
            </a:ext>
          </a:extLst>
        </xdr:cNvPr>
        <xdr:cNvGrpSpPr/>
      </xdr:nvGrpSpPr>
      <xdr:grpSpPr>
        <a:xfrm>
          <a:off x="2448560" y="13136880"/>
          <a:ext cx="6659880" cy="7620"/>
          <a:chOff x="853440" y="2072640"/>
          <a:chExt cx="6751320" cy="7620"/>
        </a:xfrm>
      </xdr:grpSpPr>
      <xdr:cxnSp macro="">
        <xdr:nvCxnSpPr>
          <xdr:cNvPr id="30" name="直線矢印コネクタ 29">
            <a:extLst>
              <a:ext uri="{FF2B5EF4-FFF2-40B4-BE49-F238E27FC236}">
                <a16:creationId xmlns:a16="http://schemas.microsoft.com/office/drawing/2014/main" id="{52108436-92BF-FA42-C2EA-CFB1DD11F171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" name="直線矢印コネクタ 30">
            <a:extLst>
              <a:ext uri="{FF2B5EF4-FFF2-40B4-BE49-F238E27FC236}">
                <a16:creationId xmlns:a16="http://schemas.microsoft.com/office/drawing/2014/main" id="{2148443D-F92C-781A-035E-A4CAC1F9D2A3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2</xdr:row>
      <xdr:rowOff>91440</xdr:rowOff>
    </xdr:from>
    <xdr:to>
      <xdr:col>3</xdr:col>
      <xdr:colOff>190500</xdr:colOff>
      <xdr:row>2</xdr:row>
      <xdr:rowOff>99060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AA10F964-823B-4ED9-B011-449A737980C8}"/>
            </a:ext>
          </a:extLst>
        </xdr:cNvPr>
        <xdr:cNvGrpSpPr/>
      </xdr:nvGrpSpPr>
      <xdr:grpSpPr>
        <a:xfrm>
          <a:off x="533400" y="548640"/>
          <a:ext cx="1714500" cy="7620"/>
          <a:chOff x="853440" y="2072640"/>
          <a:chExt cx="166878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28522EB6-6180-5E8C-FF2A-7A25C9A48D7F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F140A458-342D-CC09-3C02-C51AAF8568C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251460</xdr:colOff>
      <xdr:row>4</xdr:row>
      <xdr:rowOff>0</xdr:rowOff>
    </xdr:from>
    <xdr:to>
      <xdr:col>5</xdr:col>
      <xdr:colOff>274320</xdr:colOff>
      <xdr:row>4</xdr:row>
      <xdr:rowOff>7620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78006ECA-11E7-427A-BD51-8817978AF0F9}"/>
            </a:ext>
          </a:extLst>
        </xdr:cNvPr>
        <xdr:cNvGrpSpPr/>
      </xdr:nvGrpSpPr>
      <xdr:grpSpPr>
        <a:xfrm>
          <a:off x="251460" y="914400"/>
          <a:ext cx="3451860" cy="7620"/>
          <a:chOff x="853440" y="2072640"/>
          <a:chExt cx="33756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40BB8AB0-ABF1-E544-9C1F-6986E88DF89E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950D0F24-93EA-CF5E-C742-C8156C1E2DCE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106680</xdr:colOff>
      <xdr:row>6</xdr:row>
      <xdr:rowOff>91440</xdr:rowOff>
    </xdr:from>
    <xdr:to>
      <xdr:col>10</xdr:col>
      <xdr:colOff>152400</xdr:colOff>
      <xdr:row>6</xdr:row>
      <xdr:rowOff>99060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AF3AC4C0-E871-46FE-BA4F-53B38F05E7B5}"/>
            </a:ext>
          </a:extLst>
        </xdr:cNvPr>
        <xdr:cNvGrpSpPr/>
      </xdr:nvGrpSpPr>
      <xdr:grpSpPr>
        <a:xfrm>
          <a:off x="106680" y="1463040"/>
          <a:ext cx="6903720" cy="7620"/>
          <a:chOff x="853440" y="2072640"/>
          <a:chExt cx="675132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2D580688-1012-DF1A-D602-1FE818345692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0E0C17D1-D15D-61EE-6CF6-60EBB23CA3F7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274320</xdr:colOff>
      <xdr:row>5</xdr:row>
      <xdr:rowOff>121920</xdr:rowOff>
    </xdr:from>
    <xdr:to>
      <xdr:col>7</xdr:col>
      <xdr:colOff>571305</xdr:colOff>
      <xdr:row>5</xdr:row>
      <xdr:rowOff>129540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0BA88E41-A3A7-4376-9C14-E2CE999E4BBE}"/>
            </a:ext>
          </a:extLst>
        </xdr:cNvPr>
        <xdr:cNvGrpSpPr/>
      </xdr:nvGrpSpPr>
      <xdr:grpSpPr>
        <a:xfrm>
          <a:off x="274320" y="1264920"/>
          <a:ext cx="5097585" cy="7620"/>
          <a:chOff x="2493270" y="2072640"/>
          <a:chExt cx="511149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28317793-AB46-9C72-5E31-1802B0B08279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499012CC-3FAB-9380-366D-70644053CFB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38EC6-B0AA-470E-A6D9-CF91DD39963A}">
  <sheetPr>
    <pageSetUpPr fitToPage="1"/>
  </sheetPr>
  <dimension ref="A1:AL51"/>
  <sheetViews>
    <sheetView tabSelected="1" view="pageBreakPreview" zoomScale="60" zoomScaleNormal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102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104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103</v>
      </c>
      <c r="D2" s="12"/>
      <c r="E2" s="12"/>
      <c r="F2" s="12"/>
      <c r="G2" s="12"/>
      <c r="H2" s="12"/>
      <c r="I2" s="12"/>
      <c r="J2" s="12"/>
      <c r="L2" s="12" t="s">
        <v>31</v>
      </c>
      <c r="M2" s="12"/>
      <c r="N2" s="12"/>
      <c r="O2" s="12"/>
      <c r="P2" s="12"/>
      <c r="Q2" s="12"/>
      <c r="R2" s="12" t="s">
        <v>33</v>
      </c>
      <c r="S2" s="12"/>
      <c r="T2" s="12"/>
      <c r="U2" s="12"/>
      <c r="W2" s="15" t="s">
        <v>23</v>
      </c>
      <c r="X2" s="15"/>
      <c r="Y2" s="15"/>
      <c r="Z2" s="15"/>
      <c r="AA2" s="12" t="s">
        <v>105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/>
      <c r="M3" s="12"/>
      <c r="N3" s="12"/>
      <c r="O3" s="12"/>
      <c r="P3" s="12"/>
      <c r="Q3" s="12"/>
      <c r="R3" s="12"/>
      <c r="S3" s="12"/>
      <c r="T3" s="12"/>
      <c r="U3" s="12"/>
      <c r="W3" s="103" t="s">
        <v>24</v>
      </c>
      <c r="X3" s="99"/>
      <c r="Y3" s="99"/>
      <c r="Z3" s="100"/>
      <c r="AA3" s="12" t="s">
        <v>108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04"/>
      <c r="X4" s="101"/>
      <c r="Y4" s="101"/>
      <c r="Z4" s="102"/>
      <c r="AA4" s="12" t="s">
        <v>107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>
      <c r="W5" s="105"/>
      <c r="X5" s="106"/>
      <c r="Y5" s="106"/>
      <c r="Z5" s="107"/>
      <c r="AA5" s="12" t="s">
        <v>106</v>
      </c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8" spans="1:38">
      <c r="A8" s="1" t="s">
        <v>125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16</v>
      </c>
      <c r="B10" s="16"/>
      <c r="C10" s="22" t="s">
        <v>126</v>
      </c>
      <c r="D10" s="22"/>
      <c r="E10" s="22"/>
      <c r="F10" s="22"/>
      <c r="G10" s="22"/>
      <c r="H10" s="23"/>
      <c r="I10" s="73" t="s">
        <v>127</v>
      </c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 t="s">
        <v>34</v>
      </c>
      <c r="AH10" s="46"/>
      <c r="AI10" s="46"/>
      <c r="AJ10" s="46"/>
      <c r="AK10" s="46"/>
      <c r="AL10" s="47"/>
    </row>
    <row r="11" spans="1:38" ht="35.4" customHeight="1">
      <c r="A11" s="15" t="s">
        <v>4</v>
      </c>
      <c r="B11" s="15"/>
      <c r="C11" s="24"/>
      <c r="D11" s="24"/>
      <c r="E11" s="24"/>
      <c r="F11" s="24"/>
      <c r="G11" s="24"/>
      <c r="H11" s="25"/>
      <c r="I11" s="36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5"/>
      <c r="U11" s="36"/>
      <c r="V11" s="24"/>
      <c r="W11" s="24"/>
      <c r="X11" s="24"/>
      <c r="Y11" s="24"/>
      <c r="Z11" s="24"/>
      <c r="AA11" s="31"/>
      <c r="AB11" s="31"/>
      <c r="AC11" s="31"/>
      <c r="AD11" s="31"/>
      <c r="AE11" s="31"/>
      <c r="AF11" s="32"/>
      <c r="AG11" s="34"/>
      <c r="AH11" s="31"/>
      <c r="AI11" s="31"/>
      <c r="AJ11" s="31"/>
      <c r="AK11" s="31"/>
      <c r="AL11" s="31"/>
    </row>
    <row r="12" spans="1:38" ht="35.4" customHeight="1" thickBot="1">
      <c r="A12" s="21" t="s">
        <v>6</v>
      </c>
      <c r="B12" s="21"/>
      <c r="C12" s="116"/>
      <c r="D12" s="116"/>
      <c r="E12" s="116"/>
      <c r="F12" s="116"/>
      <c r="G12" s="116"/>
      <c r="H12" s="117"/>
      <c r="I12" s="118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7"/>
      <c r="U12" s="37"/>
      <c r="V12" s="38"/>
      <c r="W12" s="38"/>
      <c r="X12" s="38"/>
      <c r="Y12" s="38"/>
      <c r="Z12" s="38"/>
      <c r="AA12" s="116"/>
      <c r="AB12" s="116"/>
      <c r="AC12" s="116"/>
      <c r="AD12" s="116"/>
      <c r="AE12" s="116"/>
      <c r="AF12" s="117"/>
      <c r="AG12" s="37"/>
      <c r="AH12" s="38"/>
      <c r="AI12" s="38"/>
      <c r="AJ12" s="38"/>
      <c r="AK12" s="38"/>
      <c r="AL12" s="38"/>
    </row>
    <row r="13" spans="1:38" ht="57" customHeight="1" thickTop="1">
      <c r="A13" s="16" t="s">
        <v>17</v>
      </c>
      <c r="B13" s="16"/>
      <c r="C13" s="42" t="s">
        <v>134</v>
      </c>
      <c r="D13" s="42"/>
      <c r="E13" s="42"/>
      <c r="F13" s="42"/>
      <c r="G13" s="42"/>
      <c r="H13" s="43"/>
      <c r="I13" s="18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33"/>
      <c r="U13" s="39"/>
      <c r="V13" s="40"/>
      <c r="W13" s="40"/>
      <c r="X13" s="40"/>
      <c r="Y13" s="40"/>
      <c r="Z13" s="41"/>
      <c r="AA13" s="19"/>
      <c r="AB13" s="19"/>
      <c r="AC13" s="19"/>
      <c r="AD13" s="19"/>
      <c r="AE13" s="19"/>
      <c r="AF13" s="3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16</v>
      </c>
      <c r="B20" s="16"/>
      <c r="C20" s="45" t="s">
        <v>34</v>
      </c>
      <c r="D20" s="46"/>
      <c r="E20" s="46"/>
      <c r="F20" s="46"/>
      <c r="G20" s="46"/>
      <c r="H20" s="46"/>
      <c r="I20" s="46" t="s">
        <v>128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 t="s">
        <v>130</v>
      </c>
      <c r="AH20" s="46"/>
      <c r="AI20" s="46"/>
      <c r="AJ20" s="46"/>
      <c r="AK20" s="46"/>
      <c r="AL20" s="47"/>
    </row>
    <row r="21" spans="1:38" ht="35.4" customHeight="1">
      <c r="A21" s="15" t="s">
        <v>4</v>
      </c>
      <c r="B21" s="15"/>
      <c r="C21" s="111"/>
      <c r="D21" s="111"/>
      <c r="E21" s="111"/>
      <c r="F21" s="111"/>
      <c r="G21" s="111"/>
      <c r="H21" s="112"/>
      <c r="I21" s="113"/>
      <c r="J21" s="111"/>
      <c r="K21" s="111"/>
      <c r="L21" s="111"/>
      <c r="M21" s="111"/>
      <c r="N21" s="111"/>
      <c r="O21" s="112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5"/>
      <c r="AA21" s="111"/>
      <c r="AB21" s="111"/>
      <c r="AC21" s="111"/>
      <c r="AD21" s="111"/>
      <c r="AE21" s="111"/>
      <c r="AF21" s="112"/>
      <c r="AG21" s="113"/>
      <c r="AH21" s="111"/>
      <c r="AI21" s="111"/>
      <c r="AJ21" s="111"/>
      <c r="AK21" s="111"/>
      <c r="AL21" s="111"/>
    </row>
    <row r="22" spans="1:38" ht="35.4" customHeight="1" thickBot="1">
      <c r="A22" s="21" t="s">
        <v>6</v>
      </c>
      <c r="B22" s="21"/>
      <c r="C22" s="116"/>
      <c r="D22" s="116"/>
      <c r="E22" s="116"/>
      <c r="F22" s="116"/>
      <c r="G22" s="116"/>
      <c r="H22" s="117"/>
      <c r="I22" s="37"/>
      <c r="J22" s="38"/>
      <c r="K22" s="38"/>
      <c r="L22" s="38"/>
      <c r="M22" s="38"/>
      <c r="N22" s="38"/>
      <c r="O22" s="116"/>
      <c r="P22" s="116"/>
      <c r="Q22" s="116"/>
      <c r="R22" s="116"/>
      <c r="S22" s="116"/>
      <c r="T22" s="117"/>
      <c r="U22" s="37"/>
      <c r="V22" s="38"/>
      <c r="W22" s="38"/>
      <c r="X22" s="38"/>
      <c r="Y22" s="38"/>
      <c r="Z22" s="38"/>
      <c r="AA22" s="116"/>
      <c r="AB22" s="116"/>
      <c r="AC22" s="116"/>
      <c r="AD22" s="116"/>
      <c r="AE22" s="116"/>
      <c r="AF22" s="117"/>
      <c r="AG22" s="37"/>
      <c r="AH22" s="38"/>
      <c r="AI22" s="38"/>
      <c r="AJ22" s="38"/>
      <c r="AK22" s="38"/>
      <c r="AL22" s="38"/>
    </row>
    <row r="23" spans="1:38" ht="57" customHeight="1" thickTop="1">
      <c r="A23" s="16" t="s">
        <v>17</v>
      </c>
      <c r="B23" s="16"/>
      <c r="C23" s="42"/>
      <c r="D23" s="42"/>
      <c r="E23" s="42"/>
      <c r="F23" s="42"/>
      <c r="G23" s="42"/>
      <c r="H23" s="43"/>
      <c r="I23" s="18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33"/>
      <c r="U23" s="48"/>
      <c r="V23" s="49"/>
      <c r="W23" s="49"/>
      <c r="X23" s="49"/>
      <c r="Y23" s="49"/>
      <c r="Z23" s="49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16</v>
      </c>
      <c r="B30" s="16"/>
      <c r="C30" s="46" t="s">
        <v>130</v>
      </c>
      <c r="D30" s="46"/>
      <c r="E30" s="46"/>
      <c r="F30" s="46"/>
      <c r="G30" s="46"/>
      <c r="H30" s="47"/>
      <c r="I30" s="130" t="s">
        <v>129</v>
      </c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3"/>
    </row>
    <row r="31" spans="1:38" ht="35.4" customHeight="1">
      <c r="A31" s="15" t="s">
        <v>4</v>
      </c>
      <c r="B31" s="15"/>
      <c r="C31" s="124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6"/>
      <c r="O31" s="124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6"/>
      <c r="AA31" s="124"/>
      <c r="AB31" s="125"/>
      <c r="AC31" s="125"/>
      <c r="AD31" s="125"/>
      <c r="AE31" s="125"/>
      <c r="AF31" s="125"/>
      <c r="AG31" s="125"/>
      <c r="AH31" s="125"/>
      <c r="AI31" s="125"/>
      <c r="AJ31" s="125"/>
      <c r="AK31" s="125"/>
      <c r="AL31" s="126"/>
    </row>
    <row r="32" spans="1:38" ht="35.4" customHeight="1" thickBot="1">
      <c r="A32" s="21" t="s">
        <v>6</v>
      </c>
      <c r="B32" s="21"/>
      <c r="C32" s="116"/>
      <c r="D32" s="116"/>
      <c r="E32" s="116"/>
      <c r="F32" s="116"/>
      <c r="G32" s="116"/>
      <c r="H32" s="117"/>
      <c r="I32" s="37"/>
      <c r="J32" s="38"/>
      <c r="K32" s="38"/>
      <c r="L32" s="38"/>
      <c r="M32" s="38"/>
      <c r="N32" s="38"/>
      <c r="O32" s="122"/>
      <c r="P32" s="120"/>
      <c r="Q32" s="120"/>
      <c r="R32" s="120"/>
      <c r="S32" s="120"/>
      <c r="T32" s="123"/>
      <c r="U32" s="119"/>
      <c r="V32" s="120"/>
      <c r="W32" s="120"/>
      <c r="X32" s="120"/>
      <c r="Y32" s="120"/>
      <c r="Z32" s="121"/>
      <c r="AA32" s="26"/>
      <c r="AB32" s="26"/>
      <c r="AC32" s="26"/>
      <c r="AD32" s="26"/>
      <c r="AE32" s="26"/>
      <c r="AF32" s="27"/>
      <c r="AG32" s="44"/>
      <c r="AH32" s="26"/>
      <c r="AI32" s="26"/>
      <c r="AJ32" s="26"/>
      <c r="AK32" s="26"/>
      <c r="AL32" s="26"/>
    </row>
    <row r="33" spans="1:38" ht="57" customHeight="1" thickTop="1">
      <c r="A33" s="16" t="s">
        <v>17</v>
      </c>
      <c r="B33" s="16"/>
      <c r="C33" s="54" t="s">
        <v>135</v>
      </c>
      <c r="D33" s="54"/>
      <c r="E33" s="54"/>
      <c r="F33" s="54"/>
      <c r="G33" s="54"/>
      <c r="H33" s="56"/>
      <c r="I33" s="18"/>
      <c r="J33" s="19"/>
      <c r="K33" s="19"/>
      <c r="L33" s="19"/>
      <c r="M33" s="19"/>
      <c r="N33" s="19"/>
      <c r="O33" s="54"/>
      <c r="P33" s="54"/>
      <c r="Q33" s="54"/>
      <c r="R33" s="54"/>
      <c r="S33" s="54"/>
      <c r="T33" s="56"/>
      <c r="U33" s="53"/>
      <c r="V33" s="54"/>
      <c r="W33" s="54"/>
      <c r="X33" s="54"/>
      <c r="Y33" s="54"/>
      <c r="Z33" s="54"/>
      <c r="AA33" s="54" t="s">
        <v>153</v>
      </c>
      <c r="AB33" s="54"/>
      <c r="AC33" s="54"/>
      <c r="AD33" s="54"/>
      <c r="AE33" s="54"/>
      <c r="AF33" s="57"/>
      <c r="AG33" s="53" t="s">
        <v>136</v>
      </c>
      <c r="AH33" s="54"/>
      <c r="AI33" s="54"/>
      <c r="AJ33" s="54"/>
      <c r="AK33" s="54"/>
      <c r="AL33" s="54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16</v>
      </c>
      <c r="B40" s="16"/>
      <c r="C40" s="130" t="s">
        <v>131</v>
      </c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 t="s">
        <v>62</v>
      </c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2"/>
      <c r="AG40" s="71" t="s">
        <v>57</v>
      </c>
      <c r="AH40" s="61"/>
      <c r="AI40" s="61"/>
      <c r="AJ40" s="61"/>
      <c r="AK40" s="61"/>
      <c r="AL40" s="72"/>
    </row>
    <row r="41" spans="1:38" ht="35.4" customHeight="1">
      <c r="A41" s="15" t="s">
        <v>4</v>
      </c>
      <c r="B41" s="15"/>
      <c r="C41" s="127"/>
      <c r="D41" s="127"/>
      <c r="E41" s="127"/>
      <c r="F41" s="127"/>
      <c r="G41" s="127"/>
      <c r="H41" s="128"/>
      <c r="I41" s="129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8"/>
      <c r="U41" s="129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8"/>
      <c r="AG41" s="84"/>
      <c r="AH41" s="98"/>
      <c r="AI41" s="98"/>
      <c r="AJ41" s="98"/>
      <c r="AK41" s="98"/>
      <c r="AL41" s="79"/>
    </row>
    <row r="42" spans="1:38" ht="35.4" customHeight="1" thickBot="1">
      <c r="A42" s="21" t="s">
        <v>6</v>
      </c>
      <c r="B42" s="21"/>
      <c r="C42" s="26"/>
      <c r="D42" s="26"/>
      <c r="E42" s="26"/>
      <c r="F42" s="26"/>
      <c r="G42" s="26"/>
      <c r="H42" s="27"/>
      <c r="I42" s="44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7"/>
      <c r="U42" s="44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7"/>
      <c r="AG42" s="69"/>
      <c r="AH42" s="67"/>
      <c r="AI42" s="67"/>
      <c r="AJ42" s="67"/>
      <c r="AK42" s="67"/>
      <c r="AL42" s="70"/>
    </row>
    <row r="43" spans="1:38" ht="57" customHeight="1" thickTop="1">
      <c r="A43" s="16" t="s">
        <v>17</v>
      </c>
      <c r="B43" s="16"/>
      <c r="C43" s="54" t="s">
        <v>137</v>
      </c>
      <c r="D43" s="54"/>
      <c r="E43" s="54"/>
      <c r="F43" s="54"/>
      <c r="G43" s="54"/>
      <c r="H43" s="56"/>
      <c r="I43" s="135" t="s">
        <v>138</v>
      </c>
      <c r="J43" s="134"/>
      <c r="K43" s="134"/>
      <c r="L43" s="134"/>
      <c r="M43" s="134"/>
      <c r="N43" s="134"/>
      <c r="O43" s="54"/>
      <c r="P43" s="54"/>
      <c r="Q43" s="54"/>
      <c r="R43" s="54"/>
      <c r="S43" s="54"/>
      <c r="T43" s="56"/>
      <c r="U43" s="53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7"/>
      <c r="AG43" s="53" t="s">
        <v>139</v>
      </c>
      <c r="AH43" s="54"/>
      <c r="AI43" s="54"/>
      <c r="AJ43" s="54"/>
      <c r="AK43" s="54"/>
      <c r="AL43" s="54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VLOOKUP('参照用（触らない）'!$B1,メンバー!$A$13:$I$17,2,FALSE)</f>
        <v>わざさん</v>
      </c>
      <c r="B48" s="12"/>
      <c r="C48" s="12"/>
      <c r="D48" s="12" t="str">
        <f>VLOOKUP('参照用（触らない）'!$B1,メンバー!$A$13:$I$17,4,FALSE)</f>
        <v>18～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VLOOKUP('参照用（触らない）'!$B1,メンバー!$A$3:$I$11,3,FALSE)</f>
        <v>前原A僚太</v>
      </c>
      <c r="P48" s="12"/>
      <c r="Q48" s="12"/>
      <c r="R48" s="12" t="str">
        <f>VLOOKUP('参照用（触らない）'!$B1,メンバー!$A$3:$I$11,4,FALSE)</f>
        <v>16～</v>
      </c>
      <c r="S48" s="12"/>
      <c r="T48" s="12"/>
      <c r="U48" s="13"/>
      <c r="V48" s="11" t="str">
        <f>VLOOKUP('参照用（触らない）'!$B5,メンバー!$A$3:$I$11,3,FALSE)</f>
        <v>齋藤大輝</v>
      </c>
      <c r="W48" s="12"/>
      <c r="X48" s="12"/>
      <c r="Y48" s="13" t="str">
        <f>VLOOKUP('参照用（触らない）'!$B5,メンバー!$A$3:$I$11,4,FALSE)</f>
        <v>10～17:45</v>
      </c>
      <c r="Z48" s="94"/>
      <c r="AA48" s="94"/>
      <c r="AB48" s="95"/>
    </row>
    <row r="49" spans="1:28">
      <c r="A49" s="12" t="str">
        <f>VLOOKUP('参照用（触らない）'!$B2,メンバー!$A$13:$I$17,2,FALSE)</f>
        <v>春田ひなの</v>
      </c>
      <c r="B49" s="12"/>
      <c r="C49" s="12"/>
      <c r="D49" s="12" t="str">
        <f>VLOOKUP('参照用（触らない）'!$B2,メンバー!$A$13:$I$17,4,FALSE)</f>
        <v>×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VLOOKUP('参照用（触らない）'!$B2,メンバー!$A$3:$I$11,3,FALSE)</f>
        <v>北風ゆうたろう</v>
      </c>
      <c r="P49" s="12"/>
      <c r="Q49" s="12"/>
      <c r="R49" s="12" t="str">
        <f>VLOOKUP('参照用（触らない）'!$B2,メンバー!$A$3:$I$11,4,FALSE)</f>
        <v>×</v>
      </c>
      <c r="S49" s="12"/>
      <c r="T49" s="12"/>
      <c r="U49" s="13"/>
      <c r="V49" s="11" t="str">
        <f>VLOOKUP('参照用（触らない）'!$B6,メンバー!$A$3:$I$11,3,FALSE)</f>
        <v>岡田萌</v>
      </c>
      <c r="W49" s="12"/>
      <c r="X49" s="12"/>
      <c r="Y49" s="13" t="str">
        <f>VLOOKUP('参照用（触らない）'!$B6,メンバー!$A$3:$I$11,4,FALSE)</f>
        <v>×</v>
      </c>
      <c r="Z49" s="94"/>
      <c r="AA49" s="94"/>
      <c r="AB49" s="95"/>
    </row>
    <row r="50" spans="1:28">
      <c r="A50" s="12" t="str">
        <f>VLOOKUP('参照用（触らない）'!$B3,メンバー!$A$13:$I$17,2,FALSE)</f>
        <v>すみほのか</v>
      </c>
      <c r="B50" s="12"/>
      <c r="C50" s="12"/>
      <c r="D50" s="12" t="str">
        <f>VLOOKUP('参照用（触らない）'!$B3,メンバー!$A$13:$I$17,4,FALSE)</f>
        <v>18:30～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VLOOKUP('参照用（触らない）'!$B3,メンバー!$A$3:$I$11,3,FALSE)</f>
        <v>蒼樹とも</v>
      </c>
      <c r="P50" s="12"/>
      <c r="Q50" s="12"/>
      <c r="R50" s="12" t="str">
        <f>VLOOKUP('参照用（触らない）'!$B3,メンバー!$A$3:$I$11,4,FALSE)</f>
        <v>〇</v>
      </c>
      <c r="S50" s="12"/>
      <c r="T50" s="12"/>
      <c r="U50" s="13"/>
      <c r="V50" s="11" t="str">
        <f>VLOOKUP('参照用（触らない）'!$B7,メンバー!$A$3:$I$11,3,FALSE)</f>
        <v>葵</v>
      </c>
      <c r="W50" s="12"/>
      <c r="X50" s="12"/>
      <c r="Y50" s="13" t="str">
        <f>VLOOKUP('参照用（触らない）'!$B7,メンバー!$A$3:$I$11,4,FALSE)</f>
        <v>19:30～※</v>
      </c>
      <c r="Z50" s="94"/>
      <c r="AA50" s="94"/>
      <c r="AB50" s="95"/>
    </row>
    <row r="51" spans="1:28">
      <c r="A51" s="12" t="str">
        <f>VLOOKUP('参照用（触らない）'!$B4,メンバー!$A$13:$I$17,2,FALSE)</f>
        <v>古川詠介</v>
      </c>
      <c r="B51" s="12"/>
      <c r="C51" s="12"/>
      <c r="D51" s="12" t="str">
        <f>VLOOKUP('参照用（触らない）'!$B4,メンバー!$A$13:$I$17,4,FALSE)</f>
        <v>×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VLOOKUP('参照用（触らない）'!$B4,メンバー!$A$3:$I$11,3,FALSE)</f>
        <v>N碕</v>
      </c>
      <c r="P51" s="12"/>
      <c r="Q51" s="12"/>
      <c r="R51" s="12" t="str">
        <f>VLOOKUP('参照用（触らない）'!$B4,メンバー!$A$3:$I$11,4,FALSE)</f>
        <v>19～※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76">
    <mergeCell ref="I20:AF20"/>
    <mergeCell ref="AG20:AL20"/>
    <mergeCell ref="C30:H30"/>
    <mergeCell ref="I30:AL30"/>
    <mergeCell ref="O40:AF40"/>
    <mergeCell ref="C40:N40"/>
    <mergeCell ref="AG22:AL22"/>
    <mergeCell ref="C32:H32"/>
    <mergeCell ref="I32:N32"/>
    <mergeCell ref="AA32:AF32"/>
    <mergeCell ref="AG32:AL32"/>
    <mergeCell ref="C42:H42"/>
    <mergeCell ref="I42:N42"/>
    <mergeCell ref="O42:T42"/>
    <mergeCell ref="U42:Z42"/>
    <mergeCell ref="AA42:AF42"/>
    <mergeCell ref="C41:H41"/>
    <mergeCell ref="I41:N41"/>
    <mergeCell ref="O41:T41"/>
    <mergeCell ref="U41:Z41"/>
    <mergeCell ref="AA41:AF41"/>
    <mergeCell ref="A47:N47"/>
    <mergeCell ref="O47:AB47"/>
    <mergeCell ref="W3:Z5"/>
    <mergeCell ref="AA5:AL5"/>
    <mergeCell ref="AG10:AL10"/>
    <mergeCell ref="A41:B41"/>
    <mergeCell ref="C20:H20"/>
    <mergeCell ref="U31:Z31"/>
    <mergeCell ref="U32:Z32"/>
    <mergeCell ref="O31:T31"/>
    <mergeCell ref="O32:T32"/>
    <mergeCell ref="I31:N31"/>
    <mergeCell ref="C31:H31"/>
    <mergeCell ref="AA12:AF12"/>
    <mergeCell ref="AG12:AL12"/>
    <mergeCell ref="C22:H22"/>
    <mergeCell ref="I22:N22"/>
    <mergeCell ref="O22:T22"/>
    <mergeCell ref="AG43:AL43"/>
    <mergeCell ref="A43:B43"/>
    <mergeCell ref="C43:H43"/>
    <mergeCell ref="I43:N43"/>
    <mergeCell ref="O43:T43"/>
    <mergeCell ref="U43:Z43"/>
    <mergeCell ref="AA43:AF43"/>
    <mergeCell ref="A42:B42"/>
    <mergeCell ref="AG40:AL42"/>
    <mergeCell ref="AG39:AL39"/>
    <mergeCell ref="A40:B40"/>
    <mergeCell ref="A39:B39"/>
    <mergeCell ref="C39:H39"/>
    <mergeCell ref="I39:N39"/>
    <mergeCell ref="O39:T39"/>
    <mergeCell ref="U39:Z39"/>
    <mergeCell ref="AA39:AF39"/>
    <mergeCell ref="AG33:AL33"/>
    <mergeCell ref="A33:B33"/>
    <mergeCell ref="C33:H33"/>
    <mergeCell ref="I33:N33"/>
    <mergeCell ref="O33:T33"/>
    <mergeCell ref="U33:Z33"/>
    <mergeCell ref="AA33:AF33"/>
    <mergeCell ref="A32:B32"/>
    <mergeCell ref="A31:B31"/>
    <mergeCell ref="AA31:AF31"/>
    <mergeCell ref="AG31:AL31"/>
    <mergeCell ref="A30:B30"/>
    <mergeCell ref="A20:B20"/>
    <mergeCell ref="A19:B19"/>
    <mergeCell ref="C19:H19"/>
    <mergeCell ref="I19:N19"/>
    <mergeCell ref="O19:T19"/>
    <mergeCell ref="U22:Z22"/>
    <mergeCell ref="AA22:AF22"/>
    <mergeCell ref="O21:Z21"/>
    <mergeCell ref="A29:B29"/>
    <mergeCell ref="C29:H29"/>
    <mergeCell ref="I29:N29"/>
    <mergeCell ref="O29:T29"/>
    <mergeCell ref="U29:Z29"/>
    <mergeCell ref="AA29:AF29"/>
    <mergeCell ref="AG29:AL29"/>
    <mergeCell ref="A23:B23"/>
    <mergeCell ref="C23:H23"/>
    <mergeCell ref="I23:N23"/>
    <mergeCell ref="O23:T23"/>
    <mergeCell ref="U23:Z23"/>
    <mergeCell ref="AA23:AF23"/>
    <mergeCell ref="AG23:AL23"/>
    <mergeCell ref="AG21:AL21"/>
    <mergeCell ref="A22:B22"/>
    <mergeCell ref="A21:B21"/>
    <mergeCell ref="C21:H21"/>
    <mergeCell ref="I21:N21"/>
    <mergeCell ref="AA21:AF21"/>
    <mergeCell ref="I9:N9"/>
    <mergeCell ref="C9:H9"/>
    <mergeCell ref="AA11:AF11"/>
    <mergeCell ref="AA13:AF13"/>
    <mergeCell ref="AG11:AL11"/>
    <mergeCell ref="AG13:AL13"/>
    <mergeCell ref="O13:T13"/>
    <mergeCell ref="U11:Z11"/>
    <mergeCell ref="U12:Z12"/>
    <mergeCell ref="U13:Z13"/>
    <mergeCell ref="C10:H10"/>
    <mergeCell ref="C11:H11"/>
    <mergeCell ref="C12:H12"/>
    <mergeCell ref="C13:H13"/>
    <mergeCell ref="I11:N11"/>
    <mergeCell ref="I12:N12"/>
    <mergeCell ref="I10:AF10"/>
    <mergeCell ref="O11:T11"/>
    <mergeCell ref="O12:T12"/>
    <mergeCell ref="U19:Z19"/>
    <mergeCell ref="AA19:AF19"/>
    <mergeCell ref="AG9:AL9"/>
    <mergeCell ref="AA9:AF9"/>
    <mergeCell ref="U9:Z9"/>
    <mergeCell ref="O9:T9"/>
    <mergeCell ref="AG19:AL19"/>
    <mergeCell ref="AA1:AL1"/>
    <mergeCell ref="AA2:AL2"/>
    <mergeCell ref="AA3:AL3"/>
    <mergeCell ref="AA4:AL4"/>
    <mergeCell ref="L1:U1"/>
    <mergeCell ref="L2:Q2"/>
    <mergeCell ref="L3:Q3"/>
    <mergeCell ref="A1:B1"/>
    <mergeCell ref="A2:B2"/>
    <mergeCell ref="C1:J1"/>
    <mergeCell ref="C2:J2"/>
    <mergeCell ref="W1:Z1"/>
    <mergeCell ref="W2:Z2"/>
    <mergeCell ref="R2:U2"/>
    <mergeCell ref="A13:B13"/>
    <mergeCell ref="D8:F8"/>
    <mergeCell ref="I13:N13"/>
    <mergeCell ref="R3:U3"/>
    <mergeCell ref="A9:B9"/>
    <mergeCell ref="A10:B10"/>
    <mergeCell ref="A11:B11"/>
    <mergeCell ref="A12:B12"/>
    <mergeCell ref="H51:J51"/>
    <mergeCell ref="A51:C51"/>
    <mergeCell ref="K48:N48"/>
    <mergeCell ref="K49:N49"/>
    <mergeCell ref="K50:N50"/>
    <mergeCell ref="K51:N51"/>
    <mergeCell ref="A48:C48"/>
    <mergeCell ref="A49:C49"/>
    <mergeCell ref="A50:C50"/>
    <mergeCell ref="H48:J48"/>
    <mergeCell ref="H49:J49"/>
    <mergeCell ref="H50:J50"/>
    <mergeCell ref="D48:G48"/>
    <mergeCell ref="D49:G49"/>
    <mergeCell ref="D50:G50"/>
    <mergeCell ref="D51:G51"/>
    <mergeCell ref="V48:X48"/>
    <mergeCell ref="Y48:AB48"/>
    <mergeCell ref="V49:X49"/>
    <mergeCell ref="Y49:AB49"/>
    <mergeCell ref="V50:X50"/>
    <mergeCell ref="Y50:AB50"/>
    <mergeCell ref="V51:X51"/>
    <mergeCell ref="Y51:AB51"/>
    <mergeCell ref="O48:Q48"/>
    <mergeCell ref="O49:Q49"/>
    <mergeCell ref="O50:Q50"/>
    <mergeCell ref="O51:Q51"/>
    <mergeCell ref="R48:U48"/>
    <mergeCell ref="R49:U49"/>
    <mergeCell ref="R50:U50"/>
    <mergeCell ref="R51:U51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DAA0-50EA-4577-AC9D-9BAD514DCA05}">
  <sheetPr>
    <pageSetUpPr fitToPage="1"/>
  </sheetPr>
  <dimension ref="A1:AL51"/>
  <sheetViews>
    <sheetView view="pageBreakPreview" topLeftCell="A34" zoomScale="60" zoomScaleNormal="100" zoomScalePageLayoutView="75" workbookViewId="0">
      <selection activeCell="AG40" sqref="AG40:AL42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102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104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103</v>
      </c>
      <c r="D2" s="12"/>
      <c r="E2" s="12"/>
      <c r="F2" s="12"/>
      <c r="G2" s="12"/>
      <c r="H2" s="12"/>
      <c r="I2" s="12"/>
      <c r="J2" s="12"/>
      <c r="L2" s="12" t="s">
        <v>31</v>
      </c>
      <c r="M2" s="12"/>
      <c r="N2" s="12"/>
      <c r="O2" s="12"/>
      <c r="P2" s="12"/>
      <c r="Q2" s="12"/>
      <c r="R2" s="12" t="s">
        <v>33</v>
      </c>
      <c r="S2" s="12"/>
      <c r="T2" s="12"/>
      <c r="U2" s="12"/>
      <c r="W2" s="15" t="s">
        <v>23</v>
      </c>
      <c r="X2" s="15"/>
      <c r="Y2" s="15"/>
      <c r="Z2" s="15"/>
      <c r="AA2" s="12" t="s">
        <v>105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/>
      <c r="M3" s="12"/>
      <c r="N3" s="12"/>
      <c r="O3" s="12"/>
      <c r="P3" s="12"/>
      <c r="Q3" s="12"/>
      <c r="R3" s="12"/>
      <c r="S3" s="12"/>
      <c r="T3" s="12"/>
      <c r="U3" s="12"/>
      <c r="W3" s="103" t="s">
        <v>24</v>
      </c>
      <c r="X3" s="99"/>
      <c r="Y3" s="99"/>
      <c r="Z3" s="100"/>
      <c r="AA3" s="12" t="s">
        <v>108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04"/>
      <c r="X4" s="101"/>
      <c r="Y4" s="101"/>
      <c r="Z4" s="102"/>
      <c r="AA4" s="12" t="s">
        <v>107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>
      <c r="W5" s="105"/>
      <c r="X5" s="106"/>
      <c r="Y5" s="106"/>
      <c r="Z5" s="107"/>
      <c r="AA5" s="12" t="s">
        <v>106</v>
      </c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8" spans="1:38">
      <c r="A8" s="1" t="s">
        <v>132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16</v>
      </c>
      <c r="B10" s="16"/>
      <c r="C10" s="111"/>
      <c r="D10" s="111"/>
      <c r="E10" s="111"/>
      <c r="F10" s="111"/>
      <c r="G10" s="111"/>
      <c r="H10" s="112"/>
      <c r="I10" s="113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2"/>
      <c r="U10" s="113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2"/>
      <c r="AG10" s="113"/>
      <c r="AH10" s="111"/>
      <c r="AI10" s="111"/>
      <c r="AJ10" s="111"/>
      <c r="AK10" s="111"/>
      <c r="AL10" s="111"/>
    </row>
    <row r="11" spans="1:38" ht="35.4" customHeight="1">
      <c r="A11" s="15" t="s">
        <v>4</v>
      </c>
      <c r="B11" s="15"/>
      <c r="C11" s="111"/>
      <c r="D11" s="111"/>
      <c r="E11" s="111"/>
      <c r="F11" s="111"/>
      <c r="G11" s="111"/>
      <c r="H11" s="112"/>
      <c r="I11" s="113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2"/>
      <c r="U11" s="113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2"/>
      <c r="AG11" s="113"/>
      <c r="AH11" s="111"/>
      <c r="AI11" s="111"/>
      <c r="AJ11" s="111"/>
      <c r="AK11" s="111"/>
      <c r="AL11" s="111"/>
    </row>
    <row r="12" spans="1:38" ht="35.4" customHeight="1" thickBot="1">
      <c r="A12" s="21" t="s">
        <v>6</v>
      </c>
      <c r="B12" s="21"/>
      <c r="C12" s="116"/>
      <c r="D12" s="116"/>
      <c r="E12" s="116"/>
      <c r="F12" s="116"/>
      <c r="G12" s="116"/>
      <c r="H12" s="117"/>
      <c r="I12" s="37"/>
      <c r="J12" s="38"/>
      <c r="K12" s="38"/>
      <c r="L12" s="38"/>
      <c r="M12" s="38"/>
      <c r="N12" s="38"/>
      <c r="O12" s="116"/>
      <c r="P12" s="116"/>
      <c r="Q12" s="116"/>
      <c r="R12" s="116"/>
      <c r="S12" s="116"/>
      <c r="T12" s="117"/>
      <c r="U12" s="37"/>
      <c r="V12" s="38"/>
      <c r="W12" s="38"/>
      <c r="X12" s="38"/>
      <c r="Y12" s="38"/>
      <c r="Z12" s="38"/>
      <c r="AA12" s="116"/>
      <c r="AB12" s="116"/>
      <c r="AC12" s="116"/>
      <c r="AD12" s="116"/>
      <c r="AE12" s="116"/>
      <c r="AF12" s="117"/>
      <c r="AG12" s="37"/>
      <c r="AH12" s="38"/>
      <c r="AI12" s="38"/>
      <c r="AJ12" s="38"/>
      <c r="AK12" s="38"/>
      <c r="AL12" s="38"/>
    </row>
    <row r="13" spans="1:38" ht="57" customHeight="1" thickTop="1">
      <c r="A13" s="16" t="s">
        <v>17</v>
      </c>
      <c r="B13" s="16"/>
      <c r="C13" s="42" t="s">
        <v>140</v>
      </c>
      <c r="D13" s="42"/>
      <c r="E13" s="42"/>
      <c r="F13" s="42"/>
      <c r="G13" s="42"/>
      <c r="H13" s="43"/>
      <c r="I13" s="18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33"/>
      <c r="U13" s="39"/>
      <c r="V13" s="40"/>
      <c r="W13" s="40"/>
      <c r="X13" s="40"/>
      <c r="Y13" s="40"/>
      <c r="Z13" s="41"/>
      <c r="AA13" s="42" t="s">
        <v>141</v>
      </c>
      <c r="AB13" s="42"/>
      <c r="AC13" s="42"/>
      <c r="AD13" s="42"/>
      <c r="AE13" s="42"/>
      <c r="AF13" s="4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16</v>
      </c>
      <c r="B20" s="16"/>
      <c r="C20" s="111"/>
      <c r="D20" s="111"/>
      <c r="E20" s="111"/>
      <c r="F20" s="111"/>
      <c r="G20" s="111"/>
      <c r="H20" s="112"/>
      <c r="I20" s="113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2"/>
      <c r="U20" s="113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2"/>
      <c r="AG20" s="113"/>
      <c r="AH20" s="111"/>
      <c r="AI20" s="111"/>
      <c r="AJ20" s="111"/>
      <c r="AK20" s="111"/>
      <c r="AL20" s="111"/>
    </row>
    <row r="21" spans="1:38" ht="35.4" customHeight="1">
      <c r="A21" s="15" t="s">
        <v>4</v>
      </c>
      <c r="B21" s="15"/>
      <c r="C21" s="111"/>
      <c r="D21" s="111"/>
      <c r="E21" s="111"/>
      <c r="F21" s="111"/>
      <c r="G21" s="111"/>
      <c r="H21" s="112"/>
      <c r="I21" s="113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13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2"/>
      <c r="AG21" s="113"/>
      <c r="AH21" s="111"/>
      <c r="AI21" s="111"/>
      <c r="AJ21" s="111"/>
      <c r="AK21" s="111"/>
      <c r="AL21" s="111"/>
    </row>
    <row r="22" spans="1:38" ht="35.4" customHeight="1" thickBot="1">
      <c r="A22" s="21" t="s">
        <v>6</v>
      </c>
      <c r="B22" s="21"/>
      <c r="C22" s="116"/>
      <c r="D22" s="116"/>
      <c r="E22" s="116"/>
      <c r="F22" s="116"/>
      <c r="G22" s="116"/>
      <c r="H22" s="117"/>
      <c r="I22" s="37"/>
      <c r="J22" s="38"/>
      <c r="K22" s="38"/>
      <c r="L22" s="38"/>
      <c r="M22" s="38"/>
      <c r="N22" s="38"/>
      <c r="O22" s="116"/>
      <c r="P22" s="116"/>
      <c r="Q22" s="116"/>
      <c r="R22" s="116"/>
      <c r="S22" s="116"/>
      <c r="T22" s="117"/>
      <c r="U22" s="37"/>
      <c r="V22" s="38"/>
      <c r="W22" s="38"/>
      <c r="X22" s="38"/>
      <c r="Y22" s="38"/>
      <c r="Z22" s="38"/>
      <c r="AA22" s="116"/>
      <c r="AB22" s="116"/>
      <c r="AC22" s="116"/>
      <c r="AD22" s="116"/>
      <c r="AE22" s="116"/>
      <c r="AF22" s="117"/>
      <c r="AG22" s="37"/>
      <c r="AH22" s="38"/>
      <c r="AI22" s="38"/>
      <c r="AJ22" s="38"/>
      <c r="AK22" s="38"/>
      <c r="AL22" s="38"/>
    </row>
    <row r="23" spans="1:38" ht="57" customHeight="1" thickTop="1">
      <c r="A23" s="16" t="s">
        <v>17</v>
      </c>
      <c r="B23" s="16"/>
      <c r="C23" s="42"/>
      <c r="D23" s="42"/>
      <c r="E23" s="42"/>
      <c r="F23" s="42"/>
      <c r="G23" s="42"/>
      <c r="H23" s="43"/>
      <c r="I23" s="18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33"/>
      <c r="U23" s="48"/>
      <c r="V23" s="49"/>
      <c r="W23" s="49"/>
      <c r="X23" s="49"/>
      <c r="Y23" s="49"/>
      <c r="Z23" s="49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16</v>
      </c>
      <c r="B30" s="16"/>
      <c r="C30" s="111"/>
      <c r="D30" s="111"/>
      <c r="E30" s="111"/>
      <c r="F30" s="111"/>
      <c r="G30" s="111"/>
      <c r="H30" s="112"/>
      <c r="I30" s="113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2"/>
      <c r="U30" s="113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2"/>
      <c r="AG30" s="113"/>
      <c r="AH30" s="111"/>
      <c r="AI30" s="111"/>
      <c r="AJ30" s="111"/>
      <c r="AK30" s="111"/>
      <c r="AL30" s="111"/>
    </row>
    <row r="31" spans="1:38" ht="35.4" customHeight="1">
      <c r="A31" s="15" t="s">
        <v>4</v>
      </c>
      <c r="B31" s="15"/>
      <c r="C31" s="111"/>
      <c r="D31" s="111"/>
      <c r="E31" s="111"/>
      <c r="F31" s="111"/>
      <c r="G31" s="111"/>
      <c r="H31" s="112"/>
      <c r="I31" s="113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2"/>
      <c r="U31" s="113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2"/>
      <c r="AG31" s="113"/>
      <c r="AH31" s="111"/>
      <c r="AI31" s="111"/>
      <c r="AJ31" s="111"/>
      <c r="AK31" s="111"/>
      <c r="AL31" s="111"/>
    </row>
    <row r="32" spans="1:38" ht="35.4" customHeight="1" thickBot="1">
      <c r="A32" s="21" t="s">
        <v>6</v>
      </c>
      <c r="B32" s="21"/>
      <c r="C32" s="116"/>
      <c r="D32" s="116"/>
      <c r="E32" s="116"/>
      <c r="F32" s="116"/>
      <c r="G32" s="116"/>
      <c r="H32" s="117"/>
      <c r="I32" s="37"/>
      <c r="J32" s="38"/>
      <c r="K32" s="38"/>
      <c r="L32" s="38"/>
      <c r="M32" s="38"/>
      <c r="N32" s="38"/>
      <c r="O32" s="116"/>
      <c r="P32" s="116"/>
      <c r="Q32" s="116"/>
      <c r="R32" s="116"/>
      <c r="S32" s="116"/>
      <c r="T32" s="117"/>
      <c r="U32" s="37"/>
      <c r="V32" s="38"/>
      <c r="W32" s="38"/>
      <c r="X32" s="38"/>
      <c r="Y32" s="38"/>
      <c r="Z32" s="38"/>
      <c r="AA32" s="116"/>
      <c r="AB32" s="116"/>
      <c r="AC32" s="116"/>
      <c r="AD32" s="116"/>
      <c r="AE32" s="116"/>
      <c r="AF32" s="117"/>
      <c r="AG32" s="37"/>
      <c r="AH32" s="38"/>
      <c r="AI32" s="38"/>
      <c r="AJ32" s="38"/>
      <c r="AK32" s="38"/>
      <c r="AL32" s="38"/>
    </row>
    <row r="33" spans="1:38" ht="57" customHeight="1" thickTop="1">
      <c r="A33" s="16" t="s">
        <v>17</v>
      </c>
      <c r="B33" s="16"/>
      <c r="C33" s="54" t="s">
        <v>142</v>
      </c>
      <c r="D33" s="54"/>
      <c r="E33" s="54"/>
      <c r="F33" s="54"/>
      <c r="G33" s="54"/>
      <c r="H33" s="56"/>
      <c r="I33" s="18"/>
      <c r="J33" s="19"/>
      <c r="K33" s="19"/>
      <c r="L33" s="19"/>
      <c r="M33" s="19"/>
      <c r="N33" s="19"/>
      <c r="O33" s="54"/>
      <c r="P33" s="54"/>
      <c r="Q33" s="54"/>
      <c r="R33" s="54"/>
      <c r="S33" s="54"/>
      <c r="T33" s="56"/>
      <c r="U33" s="53"/>
      <c r="V33" s="54"/>
      <c r="W33" s="54"/>
      <c r="X33" s="54"/>
      <c r="Y33" s="54"/>
      <c r="Z33" s="54"/>
      <c r="AA33" s="54" t="s">
        <v>143</v>
      </c>
      <c r="AB33" s="54"/>
      <c r="AC33" s="54"/>
      <c r="AD33" s="54"/>
      <c r="AE33" s="54"/>
      <c r="AF33" s="57"/>
      <c r="AG33" s="53" t="s">
        <v>144</v>
      </c>
      <c r="AH33" s="54"/>
      <c r="AI33" s="54"/>
      <c r="AJ33" s="54"/>
      <c r="AK33" s="54"/>
      <c r="AL33" s="54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16</v>
      </c>
      <c r="B40" s="16"/>
      <c r="C40" s="127"/>
      <c r="D40" s="127"/>
      <c r="E40" s="127"/>
      <c r="F40" s="127"/>
      <c r="G40" s="127"/>
      <c r="H40" s="128"/>
      <c r="I40" s="129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8"/>
      <c r="U40" s="129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128"/>
      <c r="AG40" s="71" t="s">
        <v>57</v>
      </c>
      <c r="AH40" s="61"/>
      <c r="AI40" s="61"/>
      <c r="AJ40" s="61"/>
      <c r="AK40" s="61"/>
      <c r="AL40" s="72"/>
    </row>
    <row r="41" spans="1:38" ht="35.4" customHeight="1">
      <c r="A41" s="15" t="s">
        <v>4</v>
      </c>
      <c r="B41" s="15"/>
      <c r="C41" s="127"/>
      <c r="D41" s="127"/>
      <c r="E41" s="127"/>
      <c r="F41" s="127"/>
      <c r="G41" s="127"/>
      <c r="H41" s="128"/>
      <c r="I41" s="129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8"/>
      <c r="U41" s="129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8"/>
      <c r="AG41" s="84"/>
      <c r="AH41" s="98"/>
      <c r="AI41" s="98"/>
      <c r="AJ41" s="98"/>
      <c r="AK41" s="98"/>
      <c r="AL41" s="79"/>
    </row>
    <row r="42" spans="1:38" ht="35.4" customHeight="1" thickBot="1">
      <c r="A42" s="21" t="s">
        <v>6</v>
      </c>
      <c r="B42" s="21"/>
      <c r="C42" s="116"/>
      <c r="D42" s="116"/>
      <c r="E42" s="116"/>
      <c r="F42" s="116"/>
      <c r="G42" s="116"/>
      <c r="H42" s="117"/>
      <c r="I42" s="37"/>
      <c r="J42" s="38"/>
      <c r="K42" s="38"/>
      <c r="L42" s="38"/>
      <c r="M42" s="38"/>
      <c r="N42" s="38"/>
      <c r="O42" s="116"/>
      <c r="P42" s="116"/>
      <c r="Q42" s="116"/>
      <c r="R42" s="116"/>
      <c r="S42" s="116"/>
      <c r="T42" s="117"/>
      <c r="U42" s="37"/>
      <c r="V42" s="38"/>
      <c r="W42" s="38"/>
      <c r="X42" s="38"/>
      <c r="Y42" s="38"/>
      <c r="Z42" s="38"/>
      <c r="AA42" s="116"/>
      <c r="AB42" s="116"/>
      <c r="AC42" s="116"/>
      <c r="AD42" s="116"/>
      <c r="AE42" s="116"/>
      <c r="AF42" s="117"/>
      <c r="AG42" s="69"/>
      <c r="AH42" s="67"/>
      <c r="AI42" s="67"/>
      <c r="AJ42" s="67"/>
      <c r="AK42" s="67"/>
      <c r="AL42" s="70"/>
    </row>
    <row r="43" spans="1:38" ht="57" customHeight="1" thickTop="1">
      <c r="A43" s="16" t="s">
        <v>17</v>
      </c>
      <c r="B43" s="16"/>
      <c r="C43" s="54" t="s">
        <v>145</v>
      </c>
      <c r="D43" s="54"/>
      <c r="E43" s="54"/>
      <c r="F43" s="54"/>
      <c r="G43" s="54"/>
      <c r="H43" s="56"/>
      <c r="I43" s="48" t="s">
        <v>146</v>
      </c>
      <c r="J43" s="49"/>
      <c r="K43" s="49"/>
      <c r="L43" s="49"/>
      <c r="M43" s="49"/>
      <c r="N43" s="49"/>
      <c r="O43" s="54"/>
      <c r="P43" s="54"/>
      <c r="Q43" s="54"/>
      <c r="R43" s="54"/>
      <c r="S43" s="54"/>
      <c r="T43" s="56"/>
      <c r="U43" s="53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7"/>
      <c r="AG43" s="53" t="s">
        <v>147</v>
      </c>
      <c r="AH43" s="54"/>
      <c r="AI43" s="54"/>
      <c r="AJ43" s="54"/>
      <c r="AK43" s="54"/>
      <c r="AL43" s="54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VLOOKUP('参照用（触らない）'!$B1,メンバー!$A$13:$I$17,2,FALSE)</f>
        <v>わざさん</v>
      </c>
      <c r="B48" s="12"/>
      <c r="C48" s="12"/>
      <c r="D48" s="12" t="str">
        <f>VLOOKUP('参照用（触らない）'!$B1,メンバー!$A$13:$I$17,5,FALSE)</f>
        <v>18～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VLOOKUP('参照用（触らない）'!$B1,メンバー!$A$3:$I$11,3,FALSE)</f>
        <v>前原A僚太</v>
      </c>
      <c r="P48" s="12"/>
      <c r="Q48" s="12"/>
      <c r="R48" s="12" t="str">
        <f>VLOOKUP('参照用（触らない）'!$B1,メンバー!$A$3:$I$11,5,FALSE)</f>
        <v>16～</v>
      </c>
      <c r="S48" s="12"/>
      <c r="T48" s="12"/>
      <c r="U48" s="13"/>
      <c r="V48" s="11" t="str">
        <f>VLOOKUP('参照用（触らない）'!$B5,メンバー!$A$3:$I$11,3,FALSE)</f>
        <v>齋藤大輝</v>
      </c>
      <c r="W48" s="12"/>
      <c r="X48" s="12"/>
      <c r="Y48" s="13" t="str">
        <f>VLOOKUP('参照用（触らない）'!$B5,メンバー!$A$3:$I$11,5,FALSE)</f>
        <v>〇</v>
      </c>
      <c r="Z48" s="94"/>
      <c r="AA48" s="94"/>
      <c r="AB48" s="95"/>
    </row>
    <row r="49" spans="1:28">
      <c r="A49" s="12" t="str">
        <f>VLOOKUP('参照用（触らない）'!$B2,メンバー!$A$13:$I$17,2,FALSE)</f>
        <v>春田ひなの</v>
      </c>
      <c r="B49" s="12"/>
      <c r="C49" s="12"/>
      <c r="D49" s="12" t="str">
        <f>VLOOKUP('参照用（触らない）'!$B2,メンバー!$A$13:$I$17,5,FALSE)</f>
        <v>×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VLOOKUP('参照用（触らない）'!$B2,メンバー!$A$3:$I$11,3,FALSE)</f>
        <v>北風ゆうたろう</v>
      </c>
      <c r="P49" s="12"/>
      <c r="Q49" s="12"/>
      <c r="R49" s="12" t="str">
        <f>VLOOKUP('参照用（触らない）'!$B2,メンバー!$A$3:$I$11,5,FALSE)</f>
        <v>×</v>
      </c>
      <c r="S49" s="12"/>
      <c r="T49" s="12"/>
      <c r="U49" s="13"/>
      <c r="V49" s="11" t="str">
        <f>VLOOKUP('参照用（触らない）'!$B6,メンバー!$A$3:$I$11,3,FALSE)</f>
        <v>岡田萌</v>
      </c>
      <c r="W49" s="12"/>
      <c r="X49" s="12"/>
      <c r="Y49" s="13" t="str">
        <f>VLOOKUP('参照用（触らない）'!$B6,メンバー!$A$3:$I$11,5,FALSE)</f>
        <v>12～</v>
      </c>
      <c r="Z49" s="94"/>
      <c r="AA49" s="94"/>
      <c r="AB49" s="95"/>
    </row>
    <row r="50" spans="1:28">
      <c r="A50" s="12" t="str">
        <f>VLOOKUP('参照用（触らない）'!$B3,メンバー!$A$13:$I$17,2,FALSE)</f>
        <v>すみほのか</v>
      </c>
      <c r="B50" s="12"/>
      <c r="C50" s="12"/>
      <c r="D50" s="12" t="str">
        <f>VLOOKUP('参照用（触らない）'!$B3,メンバー!$A$13:$I$17,5,FALSE)</f>
        <v>18:30～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VLOOKUP('参照用（触らない）'!$B3,メンバー!$A$3:$I$11,3,FALSE)</f>
        <v>蒼樹とも</v>
      </c>
      <c r="P50" s="12"/>
      <c r="Q50" s="12"/>
      <c r="R50" s="12" t="str">
        <f>VLOOKUP('参照用（触らない）'!$B3,メンバー!$A$3:$I$11,5,FALSE)</f>
        <v>19:30～</v>
      </c>
      <c r="S50" s="12"/>
      <c r="T50" s="12"/>
      <c r="U50" s="13"/>
      <c r="V50" s="11" t="str">
        <f>VLOOKUP('参照用（触らない）'!$B7,メンバー!$A$3:$I$11,3,FALSE)</f>
        <v>葵</v>
      </c>
      <c r="W50" s="12"/>
      <c r="X50" s="12"/>
      <c r="Y50" s="13" t="str">
        <f>VLOOKUP('参照用（触らない）'!$B7,メンバー!$A$3:$I$11,5,FALSE)</f>
        <v>19:30～※</v>
      </c>
      <c r="Z50" s="94"/>
      <c r="AA50" s="94"/>
      <c r="AB50" s="95"/>
    </row>
    <row r="51" spans="1:28">
      <c r="A51" s="12" t="str">
        <f>VLOOKUP('参照用（触らない）'!$B4,メンバー!$A$13:$I$17,2,FALSE)</f>
        <v>古川詠介</v>
      </c>
      <c r="B51" s="12"/>
      <c r="C51" s="12"/>
      <c r="D51" s="12" t="str">
        <f>VLOOKUP('参照用（触らない）'!$B4,メンバー!$A$13:$I$17,5,FALSE)</f>
        <v>×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VLOOKUP('参照用（触らない）'!$B4,メンバー!$A$3:$I$11,3,FALSE)</f>
        <v>N碕</v>
      </c>
      <c r="P51" s="12"/>
      <c r="Q51" s="12"/>
      <c r="R51" s="12" t="str">
        <f>VLOOKUP('参照用（触らない）'!$B4,メンバー!$A$3:$I$11,5,FALSE)</f>
        <v>19～※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90">
    <mergeCell ref="C42:H42"/>
    <mergeCell ref="I42:N42"/>
    <mergeCell ref="O42:T42"/>
    <mergeCell ref="U42:Z42"/>
    <mergeCell ref="AA42:AF42"/>
    <mergeCell ref="AA40:AF40"/>
    <mergeCell ref="C41:H41"/>
    <mergeCell ref="I41:N41"/>
    <mergeCell ref="O41:T41"/>
    <mergeCell ref="U41:Z41"/>
    <mergeCell ref="AA41:AF41"/>
    <mergeCell ref="C31:H31"/>
    <mergeCell ref="I31:N31"/>
    <mergeCell ref="O31:T31"/>
    <mergeCell ref="U31:Z31"/>
    <mergeCell ref="A41:B41"/>
    <mergeCell ref="C40:H40"/>
    <mergeCell ref="I40:N40"/>
    <mergeCell ref="O40:T40"/>
    <mergeCell ref="U40:Z40"/>
    <mergeCell ref="C30:H30"/>
    <mergeCell ref="I30:N30"/>
    <mergeCell ref="O30:T30"/>
    <mergeCell ref="U30:Z30"/>
    <mergeCell ref="AA30:AF30"/>
    <mergeCell ref="AG30:AL30"/>
    <mergeCell ref="I20:N20"/>
    <mergeCell ref="O20:T20"/>
    <mergeCell ref="U20:Z20"/>
    <mergeCell ref="AA20:AF20"/>
    <mergeCell ref="AG20:AL20"/>
    <mergeCell ref="O21:T21"/>
    <mergeCell ref="U21:Z21"/>
    <mergeCell ref="C22:H22"/>
    <mergeCell ref="I22:N22"/>
    <mergeCell ref="O22:T22"/>
    <mergeCell ref="U22:Z22"/>
    <mergeCell ref="AA22:AF22"/>
    <mergeCell ref="AG22:AL22"/>
    <mergeCell ref="C32:H32"/>
    <mergeCell ref="I32:N32"/>
    <mergeCell ref="O32:T32"/>
    <mergeCell ref="U32:Z32"/>
    <mergeCell ref="AA32:AF32"/>
    <mergeCell ref="AG32:AL32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G39:AL39"/>
    <mergeCell ref="A40:B40"/>
    <mergeCell ref="AG40:AL42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  <mergeCell ref="I33:N33"/>
    <mergeCell ref="O33:T33"/>
    <mergeCell ref="U33:Z33"/>
    <mergeCell ref="AA33:AF33"/>
    <mergeCell ref="AG33:AL33"/>
    <mergeCell ref="AG29:AL29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C21:H21"/>
    <mergeCell ref="I21:N21"/>
    <mergeCell ref="AA21:AF21"/>
    <mergeCell ref="AG21:AL21"/>
    <mergeCell ref="C20:H20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AA9:AF9"/>
    <mergeCell ref="AG9:AL9"/>
    <mergeCell ref="A10:B10"/>
    <mergeCell ref="C10:H10"/>
    <mergeCell ref="I10:N10"/>
    <mergeCell ref="O10:T10"/>
    <mergeCell ref="U10:Z10"/>
    <mergeCell ref="AA10:AF10"/>
    <mergeCell ref="AG10:AL10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</mergeCells>
  <phoneticPr fontId="2"/>
  <pageMargins left="0.7" right="0.7" top="0.75" bottom="0.75" header="0.3" footer="0.3"/>
  <pageSetup paperSize="9" scale="55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17A9-D884-4FC3-8DCA-F457DDCCAC99}">
  <sheetPr>
    <pageSetUpPr fitToPage="1"/>
  </sheetPr>
  <dimension ref="A1:AL51"/>
  <sheetViews>
    <sheetView view="pageBreakPreview" topLeftCell="A28" zoomScale="60" zoomScaleNormal="100" zoomScalePageLayoutView="75" workbookViewId="0">
      <selection activeCell="O43" sqref="O43:T43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102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104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103</v>
      </c>
      <c r="D2" s="12"/>
      <c r="E2" s="12"/>
      <c r="F2" s="12"/>
      <c r="G2" s="12"/>
      <c r="H2" s="12"/>
      <c r="I2" s="12"/>
      <c r="J2" s="12"/>
      <c r="L2" s="12" t="s">
        <v>31</v>
      </c>
      <c r="M2" s="12"/>
      <c r="N2" s="12"/>
      <c r="O2" s="12"/>
      <c r="P2" s="12"/>
      <c r="Q2" s="12"/>
      <c r="R2" s="12" t="s">
        <v>33</v>
      </c>
      <c r="S2" s="12"/>
      <c r="T2" s="12"/>
      <c r="U2" s="12"/>
      <c r="W2" s="15" t="s">
        <v>23</v>
      </c>
      <c r="X2" s="15"/>
      <c r="Y2" s="15"/>
      <c r="Z2" s="15"/>
      <c r="AA2" s="12" t="s">
        <v>105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/>
      <c r="M3" s="12"/>
      <c r="N3" s="12"/>
      <c r="O3" s="12"/>
      <c r="P3" s="12"/>
      <c r="Q3" s="12"/>
      <c r="R3" s="12"/>
      <c r="S3" s="12"/>
      <c r="T3" s="12"/>
      <c r="U3" s="12"/>
      <c r="W3" s="103" t="s">
        <v>24</v>
      </c>
      <c r="X3" s="99"/>
      <c r="Y3" s="99"/>
      <c r="Z3" s="100"/>
      <c r="AA3" s="12" t="s">
        <v>108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04"/>
      <c r="X4" s="101"/>
      <c r="Y4" s="101"/>
      <c r="Z4" s="102"/>
      <c r="AA4" s="12" t="s">
        <v>107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>
      <c r="W5" s="105"/>
      <c r="X5" s="106"/>
      <c r="Y5" s="106"/>
      <c r="Z5" s="107"/>
      <c r="AA5" s="12" t="s">
        <v>106</v>
      </c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8" spans="1:38">
      <c r="A8" s="1" t="s">
        <v>133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16</v>
      </c>
      <c r="B10" s="16"/>
      <c r="C10" s="111"/>
      <c r="D10" s="111"/>
      <c r="E10" s="111"/>
      <c r="F10" s="111"/>
      <c r="G10" s="111"/>
      <c r="H10" s="112"/>
      <c r="I10" s="113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2"/>
      <c r="U10" s="113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2"/>
      <c r="AG10" s="113"/>
      <c r="AH10" s="111"/>
      <c r="AI10" s="111"/>
      <c r="AJ10" s="111"/>
      <c r="AK10" s="111"/>
      <c r="AL10" s="111"/>
    </row>
    <row r="11" spans="1:38" ht="35.4" customHeight="1">
      <c r="A11" s="15" t="s">
        <v>4</v>
      </c>
      <c r="B11" s="15"/>
      <c r="C11" s="111"/>
      <c r="D11" s="111"/>
      <c r="E11" s="111"/>
      <c r="F11" s="111"/>
      <c r="G11" s="111"/>
      <c r="H11" s="112"/>
      <c r="I11" s="113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2"/>
      <c r="U11" s="113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2"/>
      <c r="AG11" s="113"/>
      <c r="AH11" s="111"/>
      <c r="AI11" s="111"/>
      <c r="AJ11" s="111"/>
      <c r="AK11" s="111"/>
      <c r="AL11" s="111"/>
    </row>
    <row r="12" spans="1:38" ht="35.4" customHeight="1" thickBot="1">
      <c r="A12" s="21" t="s">
        <v>6</v>
      </c>
      <c r="B12" s="21"/>
      <c r="C12" s="116"/>
      <c r="D12" s="116"/>
      <c r="E12" s="116"/>
      <c r="F12" s="116"/>
      <c r="G12" s="116"/>
      <c r="H12" s="117"/>
      <c r="I12" s="37"/>
      <c r="J12" s="38"/>
      <c r="K12" s="38"/>
      <c r="L12" s="38"/>
      <c r="M12" s="38"/>
      <c r="N12" s="38"/>
      <c r="O12" s="116"/>
      <c r="P12" s="116"/>
      <c r="Q12" s="116"/>
      <c r="R12" s="116"/>
      <c r="S12" s="116"/>
      <c r="T12" s="117"/>
      <c r="U12" s="37"/>
      <c r="V12" s="38"/>
      <c r="W12" s="38"/>
      <c r="X12" s="38"/>
      <c r="Y12" s="38"/>
      <c r="Z12" s="38"/>
      <c r="AA12" s="116"/>
      <c r="AB12" s="116"/>
      <c r="AC12" s="116"/>
      <c r="AD12" s="116"/>
      <c r="AE12" s="116"/>
      <c r="AF12" s="117"/>
      <c r="AG12" s="37"/>
      <c r="AH12" s="38"/>
      <c r="AI12" s="38"/>
      <c r="AJ12" s="38"/>
      <c r="AK12" s="38"/>
      <c r="AL12" s="38"/>
    </row>
    <row r="13" spans="1:38" ht="57" customHeight="1" thickTop="1">
      <c r="A13" s="16" t="s">
        <v>17</v>
      </c>
      <c r="B13" s="16"/>
      <c r="C13" s="42" t="s">
        <v>148</v>
      </c>
      <c r="D13" s="42"/>
      <c r="E13" s="42"/>
      <c r="F13" s="42"/>
      <c r="G13" s="42"/>
      <c r="H13" s="43"/>
      <c r="I13" s="18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33"/>
      <c r="U13" s="39"/>
      <c r="V13" s="40"/>
      <c r="W13" s="40"/>
      <c r="X13" s="40"/>
      <c r="Y13" s="40"/>
      <c r="Z13" s="41"/>
      <c r="AA13" s="19"/>
      <c r="AB13" s="19"/>
      <c r="AC13" s="19"/>
      <c r="AD13" s="19"/>
      <c r="AE13" s="19"/>
      <c r="AF13" s="3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16</v>
      </c>
      <c r="B20" s="16"/>
      <c r="C20" s="111"/>
      <c r="D20" s="111"/>
      <c r="E20" s="111"/>
      <c r="F20" s="111"/>
      <c r="G20" s="111"/>
      <c r="H20" s="112"/>
      <c r="I20" s="113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2"/>
      <c r="U20" s="113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2"/>
      <c r="AG20" s="113"/>
      <c r="AH20" s="111"/>
      <c r="AI20" s="111"/>
      <c r="AJ20" s="111"/>
      <c r="AK20" s="111"/>
      <c r="AL20" s="111"/>
    </row>
    <row r="21" spans="1:38" ht="35.4" customHeight="1">
      <c r="A21" s="15" t="s">
        <v>4</v>
      </c>
      <c r="B21" s="15"/>
      <c r="C21" s="111"/>
      <c r="D21" s="111"/>
      <c r="E21" s="111"/>
      <c r="F21" s="111"/>
      <c r="G21" s="111"/>
      <c r="H21" s="112"/>
      <c r="I21" s="113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2"/>
      <c r="U21" s="113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2"/>
      <c r="AG21" s="113"/>
      <c r="AH21" s="111"/>
      <c r="AI21" s="111"/>
      <c r="AJ21" s="111"/>
      <c r="AK21" s="111"/>
      <c r="AL21" s="111"/>
    </row>
    <row r="22" spans="1:38" ht="35.4" customHeight="1" thickBot="1">
      <c r="A22" s="21" t="s">
        <v>6</v>
      </c>
      <c r="B22" s="21"/>
      <c r="C22" s="116"/>
      <c r="D22" s="116"/>
      <c r="E22" s="116"/>
      <c r="F22" s="116"/>
      <c r="G22" s="116"/>
      <c r="H22" s="117"/>
      <c r="I22" s="37"/>
      <c r="J22" s="38"/>
      <c r="K22" s="38"/>
      <c r="L22" s="38"/>
      <c r="M22" s="38"/>
      <c r="N22" s="38"/>
      <c r="O22" s="116"/>
      <c r="P22" s="116"/>
      <c r="Q22" s="116"/>
      <c r="R22" s="116"/>
      <c r="S22" s="116"/>
      <c r="T22" s="117"/>
      <c r="U22" s="37"/>
      <c r="V22" s="38"/>
      <c r="W22" s="38"/>
      <c r="X22" s="38"/>
      <c r="Y22" s="38"/>
      <c r="Z22" s="38"/>
      <c r="AA22" s="116"/>
      <c r="AB22" s="116"/>
      <c r="AC22" s="116"/>
      <c r="AD22" s="116"/>
      <c r="AE22" s="116"/>
      <c r="AF22" s="117"/>
      <c r="AG22" s="37"/>
      <c r="AH22" s="38"/>
      <c r="AI22" s="38"/>
      <c r="AJ22" s="38"/>
      <c r="AK22" s="38"/>
      <c r="AL22" s="38"/>
    </row>
    <row r="23" spans="1:38" ht="57" customHeight="1" thickTop="1">
      <c r="A23" s="16" t="s">
        <v>17</v>
      </c>
      <c r="B23" s="16"/>
      <c r="C23" s="42" t="s">
        <v>149</v>
      </c>
      <c r="D23" s="42"/>
      <c r="E23" s="42"/>
      <c r="F23" s="42"/>
      <c r="G23" s="42"/>
      <c r="H23" s="43"/>
      <c r="I23" s="18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33"/>
      <c r="U23" s="48"/>
      <c r="V23" s="49"/>
      <c r="W23" s="49"/>
      <c r="X23" s="49"/>
      <c r="Y23" s="49"/>
      <c r="Z23" s="49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16</v>
      </c>
      <c r="B30" s="16"/>
      <c r="C30" s="111"/>
      <c r="D30" s="111"/>
      <c r="E30" s="111"/>
      <c r="F30" s="111"/>
      <c r="G30" s="111"/>
      <c r="H30" s="112"/>
      <c r="I30" s="113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2"/>
      <c r="U30" s="113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2"/>
      <c r="AG30" s="113"/>
      <c r="AH30" s="111"/>
      <c r="AI30" s="111"/>
      <c r="AJ30" s="111"/>
      <c r="AK30" s="111"/>
      <c r="AL30" s="111"/>
    </row>
    <row r="31" spans="1:38" ht="35.4" customHeight="1">
      <c r="A31" s="15" t="s">
        <v>4</v>
      </c>
      <c r="B31" s="15"/>
      <c r="C31" s="111"/>
      <c r="D31" s="111"/>
      <c r="E31" s="111"/>
      <c r="F31" s="111"/>
      <c r="G31" s="111"/>
      <c r="H31" s="112"/>
      <c r="I31" s="113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2"/>
      <c r="U31" s="113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2"/>
      <c r="AG31" s="113"/>
      <c r="AH31" s="111"/>
      <c r="AI31" s="111"/>
      <c r="AJ31" s="111"/>
      <c r="AK31" s="111"/>
      <c r="AL31" s="111"/>
    </row>
    <row r="32" spans="1:38" ht="35.4" customHeight="1" thickBot="1">
      <c r="A32" s="21" t="s">
        <v>6</v>
      </c>
      <c r="B32" s="21"/>
      <c r="C32" s="116"/>
      <c r="D32" s="116"/>
      <c r="E32" s="116"/>
      <c r="F32" s="116"/>
      <c r="G32" s="116"/>
      <c r="H32" s="117"/>
      <c r="I32" s="37"/>
      <c r="J32" s="38"/>
      <c r="K32" s="38"/>
      <c r="L32" s="38"/>
      <c r="M32" s="38"/>
      <c r="N32" s="38"/>
      <c r="O32" s="116"/>
      <c r="P32" s="116"/>
      <c r="Q32" s="116"/>
      <c r="R32" s="116"/>
      <c r="S32" s="116"/>
      <c r="T32" s="117"/>
      <c r="U32" s="37"/>
      <c r="V32" s="38"/>
      <c r="W32" s="38"/>
      <c r="X32" s="38"/>
      <c r="Y32" s="38"/>
      <c r="Z32" s="38"/>
      <c r="AA32" s="116"/>
      <c r="AB32" s="116"/>
      <c r="AC32" s="116"/>
      <c r="AD32" s="116"/>
      <c r="AE32" s="116"/>
      <c r="AF32" s="117"/>
      <c r="AG32" s="37"/>
      <c r="AH32" s="38"/>
      <c r="AI32" s="38"/>
      <c r="AJ32" s="38"/>
      <c r="AK32" s="38"/>
      <c r="AL32" s="38"/>
    </row>
    <row r="33" spans="1:38" ht="57" customHeight="1" thickTop="1">
      <c r="A33" s="16" t="s">
        <v>17</v>
      </c>
      <c r="B33" s="16"/>
      <c r="C33" s="54" t="s">
        <v>150</v>
      </c>
      <c r="D33" s="54"/>
      <c r="E33" s="54"/>
      <c r="F33" s="54"/>
      <c r="G33" s="54"/>
      <c r="H33" s="56"/>
      <c r="I33" s="18"/>
      <c r="J33" s="19"/>
      <c r="K33" s="19"/>
      <c r="L33" s="19"/>
      <c r="M33" s="19"/>
      <c r="N33" s="19"/>
      <c r="O33" s="54"/>
      <c r="P33" s="54"/>
      <c r="Q33" s="54"/>
      <c r="R33" s="54"/>
      <c r="S33" s="54"/>
      <c r="T33" s="56"/>
      <c r="U33" s="53"/>
      <c r="V33" s="54"/>
      <c r="W33" s="54"/>
      <c r="X33" s="54"/>
      <c r="Y33" s="54"/>
      <c r="Z33" s="54"/>
      <c r="AA33" s="54" t="s">
        <v>151</v>
      </c>
      <c r="AB33" s="54"/>
      <c r="AC33" s="54"/>
      <c r="AD33" s="54"/>
      <c r="AE33" s="54"/>
      <c r="AF33" s="57"/>
      <c r="AG33" s="53" t="s">
        <v>152</v>
      </c>
      <c r="AH33" s="54"/>
      <c r="AI33" s="54"/>
      <c r="AJ33" s="54"/>
      <c r="AK33" s="54"/>
      <c r="AL33" s="54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16</v>
      </c>
      <c r="B40" s="16"/>
      <c r="C40" s="127"/>
      <c r="D40" s="127"/>
      <c r="E40" s="127"/>
      <c r="F40" s="127"/>
      <c r="G40" s="127"/>
      <c r="H40" s="128"/>
      <c r="I40" s="129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8"/>
      <c r="U40" s="129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128"/>
      <c r="AG40" s="71" t="s">
        <v>57</v>
      </c>
      <c r="AH40" s="61"/>
      <c r="AI40" s="61"/>
      <c r="AJ40" s="61"/>
      <c r="AK40" s="61"/>
      <c r="AL40" s="72"/>
    </row>
    <row r="41" spans="1:38" ht="35.4" customHeight="1">
      <c r="A41" s="15" t="s">
        <v>4</v>
      </c>
      <c r="B41" s="15"/>
      <c r="C41" s="127"/>
      <c r="D41" s="127"/>
      <c r="E41" s="127"/>
      <c r="F41" s="127"/>
      <c r="G41" s="127"/>
      <c r="H41" s="128"/>
      <c r="I41" s="129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8"/>
      <c r="U41" s="129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8"/>
      <c r="AG41" s="84"/>
      <c r="AH41" s="98"/>
      <c r="AI41" s="98"/>
      <c r="AJ41" s="98"/>
      <c r="AK41" s="98"/>
      <c r="AL41" s="79"/>
    </row>
    <row r="42" spans="1:38" ht="35.4" customHeight="1" thickBot="1">
      <c r="A42" s="21" t="s">
        <v>6</v>
      </c>
      <c r="B42" s="21"/>
      <c r="C42" s="116"/>
      <c r="D42" s="116"/>
      <c r="E42" s="116"/>
      <c r="F42" s="116"/>
      <c r="G42" s="116"/>
      <c r="H42" s="117"/>
      <c r="I42" s="37"/>
      <c r="J42" s="38"/>
      <c r="K42" s="38"/>
      <c r="L42" s="38"/>
      <c r="M42" s="38"/>
      <c r="N42" s="38"/>
      <c r="O42" s="116"/>
      <c r="P42" s="116"/>
      <c r="Q42" s="116"/>
      <c r="R42" s="116"/>
      <c r="S42" s="116"/>
      <c r="T42" s="117"/>
      <c r="U42" s="37"/>
      <c r="V42" s="38"/>
      <c r="W42" s="38"/>
      <c r="X42" s="38"/>
      <c r="Y42" s="38"/>
      <c r="Z42" s="38"/>
      <c r="AA42" s="116"/>
      <c r="AB42" s="116"/>
      <c r="AC42" s="116"/>
      <c r="AD42" s="116"/>
      <c r="AE42" s="116"/>
      <c r="AF42" s="117"/>
      <c r="AG42" s="69"/>
      <c r="AH42" s="67"/>
      <c r="AI42" s="67"/>
      <c r="AJ42" s="67"/>
      <c r="AK42" s="67"/>
      <c r="AL42" s="70"/>
    </row>
    <row r="43" spans="1:38" ht="57" customHeight="1" thickTop="1">
      <c r="A43" s="16" t="s">
        <v>17</v>
      </c>
      <c r="B43" s="16"/>
      <c r="C43" s="54" t="s">
        <v>154</v>
      </c>
      <c r="D43" s="54"/>
      <c r="E43" s="54"/>
      <c r="F43" s="54"/>
      <c r="G43" s="54"/>
      <c r="H43" s="56"/>
      <c r="I43" s="48" t="s">
        <v>146</v>
      </c>
      <c r="J43" s="49"/>
      <c r="K43" s="49"/>
      <c r="L43" s="49"/>
      <c r="M43" s="49"/>
      <c r="N43" s="49"/>
      <c r="O43" s="54"/>
      <c r="P43" s="54"/>
      <c r="Q43" s="54"/>
      <c r="R43" s="54"/>
      <c r="S43" s="54"/>
      <c r="T43" s="56"/>
      <c r="U43" s="53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7"/>
      <c r="AG43" s="53" t="s">
        <v>147</v>
      </c>
      <c r="AH43" s="54"/>
      <c r="AI43" s="54"/>
      <c r="AJ43" s="54"/>
      <c r="AK43" s="54"/>
      <c r="AL43" s="54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VLOOKUP('参照用（触らない）'!$B1,メンバー!$A$13:$I$17,2,FALSE)</f>
        <v>わざさん</v>
      </c>
      <c r="B48" s="12"/>
      <c r="C48" s="12"/>
      <c r="D48" s="12" t="str">
        <f>VLOOKUP('参照用（触らない）'!$B1,メンバー!$A$13:$I$17,6,FALSE)</f>
        <v>18～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VLOOKUP('参照用（触らない）'!$B1,メンバー!$A$3:$I$11,3,FALSE)</f>
        <v>前原A僚太</v>
      </c>
      <c r="P48" s="12"/>
      <c r="Q48" s="12"/>
      <c r="R48" s="12" t="str">
        <f>VLOOKUP('参照用（触らない）'!$B1,メンバー!$A$3:$I$11,6,FALSE)</f>
        <v>16～</v>
      </c>
      <c r="S48" s="12"/>
      <c r="T48" s="12"/>
      <c r="U48" s="13"/>
      <c r="V48" s="11" t="str">
        <f>VLOOKUP('参照用（触らない）'!$B5,メンバー!$A$3:$I$11,3,FALSE)</f>
        <v>齋藤大輝</v>
      </c>
      <c r="W48" s="12"/>
      <c r="X48" s="12"/>
      <c r="Y48" s="13" t="str">
        <f>VLOOKUP('参照用（触らない）'!$B5,メンバー!$A$3:$I$11,6,FALSE)</f>
        <v>〇</v>
      </c>
      <c r="Z48" s="94"/>
      <c r="AA48" s="94"/>
      <c r="AB48" s="95"/>
    </row>
    <row r="49" spans="1:28">
      <c r="A49" s="12" t="str">
        <f>VLOOKUP('参照用（触らない）'!$B2,メンバー!$A$13:$I$17,2,FALSE)</f>
        <v>春田ひなの</v>
      </c>
      <c r="B49" s="12"/>
      <c r="C49" s="12"/>
      <c r="D49" s="12" t="str">
        <f>VLOOKUP('参照用（触らない）'!$B2,メンバー!$A$13:$I$17,6,FALSE)</f>
        <v>13～19※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VLOOKUP('参照用（触らない）'!$B2,メンバー!$A$3:$I$11,3,FALSE)</f>
        <v>北風ゆうたろう</v>
      </c>
      <c r="P49" s="12"/>
      <c r="Q49" s="12"/>
      <c r="R49" s="12" t="str">
        <f>VLOOKUP('参照用（触らない）'!$B2,メンバー!$A$3:$I$11,6,FALSE)</f>
        <v>×</v>
      </c>
      <c r="S49" s="12"/>
      <c r="T49" s="12"/>
      <c r="U49" s="13"/>
      <c r="V49" s="11" t="str">
        <f>VLOOKUP('参照用（触らない）'!$B6,メンバー!$A$3:$I$11,3,FALSE)</f>
        <v>岡田萌</v>
      </c>
      <c r="W49" s="12"/>
      <c r="X49" s="12"/>
      <c r="Y49" s="13" t="str">
        <f>VLOOKUP('参照用（触らない）'!$B6,メンバー!$A$3:$I$11,6,FALSE)</f>
        <v>〇</v>
      </c>
      <c r="Z49" s="94"/>
      <c r="AA49" s="94"/>
      <c r="AB49" s="95"/>
    </row>
    <row r="50" spans="1:28">
      <c r="A50" s="12" t="str">
        <f>VLOOKUP('参照用（触らない）'!$B3,メンバー!$A$13:$I$17,2,FALSE)</f>
        <v>すみほのか</v>
      </c>
      <c r="B50" s="12"/>
      <c r="C50" s="12"/>
      <c r="D50" s="12" t="str">
        <f>VLOOKUP('参照用（触らない）'!$B3,メンバー!$A$13:$I$17,6,FALSE)</f>
        <v>18:30～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VLOOKUP('参照用（触らない）'!$B3,メンバー!$A$3:$I$11,3,FALSE)</f>
        <v>蒼樹とも</v>
      </c>
      <c r="P50" s="12"/>
      <c r="Q50" s="12"/>
      <c r="R50" s="12" t="str">
        <f>VLOOKUP('参照用（触らない）'!$B3,メンバー!$A$3:$I$11,6,FALSE)</f>
        <v>19:30～</v>
      </c>
      <c r="S50" s="12"/>
      <c r="T50" s="12"/>
      <c r="U50" s="13"/>
      <c r="V50" s="11" t="str">
        <f>VLOOKUP('参照用（触らない）'!$B7,メンバー!$A$3:$I$11,3,FALSE)</f>
        <v>葵</v>
      </c>
      <c r="W50" s="12"/>
      <c r="X50" s="12"/>
      <c r="Y50" s="13" t="str">
        <f>VLOOKUP('参照用（触らない）'!$B7,メンバー!$A$3:$I$11,6,FALSE)</f>
        <v>19:30～※</v>
      </c>
      <c r="Z50" s="94"/>
      <c r="AA50" s="94"/>
      <c r="AB50" s="95"/>
    </row>
    <row r="51" spans="1:28">
      <c r="A51" s="12" t="str">
        <f>VLOOKUP('参照用（触らない）'!$B4,メンバー!$A$13:$I$17,2,FALSE)</f>
        <v>古川詠介</v>
      </c>
      <c r="B51" s="12"/>
      <c r="C51" s="12"/>
      <c r="D51" s="12" t="str">
        <f>VLOOKUP('参照用（触らない）'!$B4,メンバー!$A$13:$I$17,6,FALSE)</f>
        <v>×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VLOOKUP('参照用（触らない）'!$B4,メンバー!$A$3:$I$11,3,FALSE)</f>
        <v>N碕</v>
      </c>
      <c r="P51" s="12"/>
      <c r="Q51" s="12"/>
      <c r="R51" s="12" t="str">
        <f>VLOOKUP('参照用（触らない）'!$B4,メンバー!$A$3:$I$11,6,FALSE)</f>
        <v>19～※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90">
    <mergeCell ref="I41:N41"/>
    <mergeCell ref="O41:T41"/>
    <mergeCell ref="U41:Z41"/>
    <mergeCell ref="AA41:AF41"/>
    <mergeCell ref="C42:H42"/>
    <mergeCell ref="I42:N42"/>
    <mergeCell ref="O42:T42"/>
    <mergeCell ref="U42:Z42"/>
    <mergeCell ref="AA42:AF42"/>
    <mergeCell ref="AA32:AF32"/>
    <mergeCell ref="AG32:AL32"/>
    <mergeCell ref="A41:B41"/>
    <mergeCell ref="C40:H40"/>
    <mergeCell ref="I40:N40"/>
    <mergeCell ref="O40:T40"/>
    <mergeCell ref="U40:Z40"/>
    <mergeCell ref="AA40:AF40"/>
    <mergeCell ref="C41:H41"/>
    <mergeCell ref="C31:H31"/>
    <mergeCell ref="I31:N31"/>
    <mergeCell ref="O31:T31"/>
    <mergeCell ref="U31:Z31"/>
    <mergeCell ref="C32:H32"/>
    <mergeCell ref="I32:N32"/>
    <mergeCell ref="O32:T32"/>
    <mergeCell ref="U32:Z32"/>
    <mergeCell ref="C30:H30"/>
    <mergeCell ref="I30:N30"/>
    <mergeCell ref="O30:T30"/>
    <mergeCell ref="U30:Z30"/>
    <mergeCell ref="AA30:AF30"/>
    <mergeCell ref="AG30:AL30"/>
    <mergeCell ref="C22:H22"/>
    <mergeCell ref="I22:N22"/>
    <mergeCell ref="O22:T22"/>
    <mergeCell ref="U22:Z22"/>
    <mergeCell ref="AA22:AF22"/>
    <mergeCell ref="AG22:AL22"/>
    <mergeCell ref="I20:N20"/>
    <mergeCell ref="O20:T20"/>
    <mergeCell ref="U20:Z20"/>
    <mergeCell ref="AA20:AF20"/>
    <mergeCell ref="AG20:AL20"/>
    <mergeCell ref="O21:T21"/>
    <mergeCell ref="U21:Z21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G39:AL39"/>
    <mergeCell ref="A40:B40"/>
    <mergeCell ref="AG40:AL42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  <mergeCell ref="I33:N33"/>
    <mergeCell ref="O33:T33"/>
    <mergeCell ref="U33:Z33"/>
    <mergeCell ref="AA33:AF33"/>
    <mergeCell ref="AG33:AL33"/>
    <mergeCell ref="AG29:AL29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C21:H21"/>
    <mergeCell ref="I21:N21"/>
    <mergeCell ref="AA21:AF21"/>
    <mergeCell ref="AG21:AL21"/>
    <mergeCell ref="C20:H20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AA9:AF9"/>
    <mergeCell ref="AG9:AL9"/>
    <mergeCell ref="A10:B10"/>
    <mergeCell ref="C10:H10"/>
    <mergeCell ref="I10:N10"/>
    <mergeCell ref="O10:T10"/>
    <mergeCell ref="U10:Z10"/>
    <mergeCell ref="AA10:AF10"/>
    <mergeCell ref="AG10:AL10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</mergeCells>
  <phoneticPr fontId="2"/>
  <pageMargins left="0.7" right="0.7" top="0.75" bottom="0.75" header="0.3" footer="0.3"/>
  <pageSetup paperSize="9" scale="55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13A6A-3380-462C-8060-ACF748A564B6}">
  <sheetPr>
    <pageSetUpPr fitToPage="1"/>
  </sheetPr>
  <dimension ref="A1:AL51"/>
  <sheetViews>
    <sheetView view="pageBreakPreview" topLeftCell="A28" zoomScale="60" zoomScaleNormal="100" zoomScalePageLayoutView="75" workbookViewId="0">
      <selection activeCell="AG43" sqref="AG43:AL43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102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104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103</v>
      </c>
      <c r="D2" s="12"/>
      <c r="E2" s="12"/>
      <c r="F2" s="12"/>
      <c r="G2" s="12"/>
      <c r="H2" s="12"/>
      <c r="I2" s="12"/>
      <c r="J2" s="12"/>
      <c r="L2" s="12" t="s">
        <v>31</v>
      </c>
      <c r="M2" s="12"/>
      <c r="N2" s="12"/>
      <c r="O2" s="12"/>
      <c r="P2" s="12"/>
      <c r="Q2" s="12"/>
      <c r="R2" s="12" t="s">
        <v>33</v>
      </c>
      <c r="S2" s="12"/>
      <c r="T2" s="12"/>
      <c r="U2" s="12"/>
      <c r="W2" s="15" t="s">
        <v>23</v>
      </c>
      <c r="X2" s="15"/>
      <c r="Y2" s="15"/>
      <c r="Z2" s="15"/>
      <c r="AA2" s="12" t="s">
        <v>105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/>
      <c r="M3" s="12"/>
      <c r="N3" s="12"/>
      <c r="O3" s="12"/>
      <c r="P3" s="12"/>
      <c r="Q3" s="12"/>
      <c r="R3" s="12"/>
      <c r="S3" s="12"/>
      <c r="T3" s="12"/>
      <c r="U3" s="12"/>
      <c r="W3" s="103" t="s">
        <v>24</v>
      </c>
      <c r="X3" s="99"/>
      <c r="Y3" s="99"/>
      <c r="Z3" s="100"/>
      <c r="AA3" s="12" t="s">
        <v>108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04"/>
      <c r="X4" s="101"/>
      <c r="Y4" s="101"/>
      <c r="Z4" s="102"/>
      <c r="AA4" s="12" t="s">
        <v>107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>
      <c r="W5" s="105"/>
      <c r="X5" s="106"/>
      <c r="Y5" s="106"/>
      <c r="Z5" s="107"/>
      <c r="AA5" s="12" t="s">
        <v>106</v>
      </c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8" spans="1:38">
      <c r="A8" s="1" t="s">
        <v>116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</v>
      </c>
      <c r="B10" s="16"/>
      <c r="C10" s="127"/>
      <c r="D10" s="127"/>
      <c r="E10" s="127"/>
      <c r="F10" s="127"/>
      <c r="G10" s="127"/>
      <c r="H10" s="128"/>
      <c r="I10" s="129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8"/>
      <c r="U10" s="129"/>
      <c r="V10" s="127"/>
      <c r="W10" s="127"/>
      <c r="X10" s="127"/>
      <c r="Y10" s="127"/>
      <c r="Z10" s="127"/>
      <c r="AA10" s="127"/>
      <c r="AB10" s="127"/>
      <c r="AC10" s="127"/>
      <c r="AD10" s="127"/>
      <c r="AE10" s="127"/>
      <c r="AF10" s="128"/>
      <c r="AG10" s="129"/>
      <c r="AH10" s="127"/>
      <c r="AI10" s="127"/>
      <c r="AJ10" s="127"/>
      <c r="AK10" s="127"/>
      <c r="AL10" s="127"/>
    </row>
    <row r="11" spans="1:38" ht="35.4" customHeight="1">
      <c r="A11" s="15" t="s">
        <v>4</v>
      </c>
      <c r="B11" s="15"/>
      <c r="C11" s="127"/>
      <c r="D11" s="127"/>
      <c r="E11" s="127"/>
      <c r="F11" s="127"/>
      <c r="G11" s="127"/>
      <c r="H11" s="128"/>
      <c r="I11" s="129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8"/>
      <c r="U11" s="129"/>
      <c r="V11" s="127"/>
      <c r="W11" s="127"/>
      <c r="X11" s="127"/>
      <c r="Y11" s="127"/>
      <c r="Z11" s="127"/>
      <c r="AA11" s="127"/>
      <c r="AB11" s="127"/>
      <c r="AC11" s="127"/>
      <c r="AD11" s="127"/>
      <c r="AE11" s="127"/>
      <c r="AF11" s="128"/>
      <c r="AG11" s="129"/>
      <c r="AH11" s="127"/>
      <c r="AI11" s="127"/>
      <c r="AJ11" s="127"/>
      <c r="AK11" s="127"/>
      <c r="AL11" s="127"/>
    </row>
    <row r="12" spans="1:38" ht="35.4" customHeight="1" thickBot="1">
      <c r="A12" s="21" t="s">
        <v>6</v>
      </c>
      <c r="B12" s="21"/>
      <c r="C12" s="116"/>
      <c r="D12" s="116"/>
      <c r="E12" s="116"/>
      <c r="F12" s="116"/>
      <c r="G12" s="116"/>
      <c r="H12" s="117"/>
      <c r="I12" s="37"/>
      <c r="J12" s="38"/>
      <c r="K12" s="38"/>
      <c r="L12" s="38"/>
      <c r="M12" s="38"/>
      <c r="N12" s="38"/>
      <c r="O12" s="116"/>
      <c r="P12" s="116"/>
      <c r="Q12" s="116"/>
      <c r="R12" s="116"/>
      <c r="S12" s="116"/>
      <c r="T12" s="117"/>
      <c r="U12" s="37"/>
      <c r="V12" s="38"/>
      <c r="W12" s="38"/>
      <c r="X12" s="38"/>
      <c r="Y12" s="38"/>
      <c r="Z12" s="38"/>
      <c r="AA12" s="116"/>
      <c r="AB12" s="116"/>
      <c r="AC12" s="116"/>
      <c r="AD12" s="116"/>
      <c r="AE12" s="116"/>
      <c r="AF12" s="117"/>
      <c r="AG12" s="37"/>
      <c r="AH12" s="38"/>
      <c r="AI12" s="38"/>
      <c r="AJ12" s="38"/>
      <c r="AK12" s="38"/>
      <c r="AL12" s="38"/>
    </row>
    <row r="13" spans="1:38" ht="57" customHeight="1" thickTop="1">
      <c r="A13" s="16" t="s">
        <v>17</v>
      </c>
      <c r="B13" s="16"/>
      <c r="C13" s="42" t="s">
        <v>155</v>
      </c>
      <c r="D13" s="42"/>
      <c r="E13" s="42"/>
      <c r="F13" s="42"/>
      <c r="G13" s="42"/>
      <c r="H13" s="43"/>
      <c r="I13" s="18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33"/>
      <c r="U13" s="39"/>
      <c r="V13" s="40"/>
      <c r="W13" s="40"/>
      <c r="X13" s="40"/>
      <c r="Y13" s="40"/>
      <c r="Z13" s="41"/>
      <c r="AA13" s="19" t="s">
        <v>156</v>
      </c>
      <c r="AB13" s="19"/>
      <c r="AC13" s="19"/>
      <c r="AD13" s="19"/>
      <c r="AE13" s="19"/>
      <c r="AF13" s="3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</v>
      </c>
      <c r="B20" s="16"/>
      <c r="C20" s="127"/>
      <c r="D20" s="127"/>
      <c r="E20" s="127"/>
      <c r="F20" s="127"/>
      <c r="G20" s="127"/>
      <c r="H20" s="128"/>
      <c r="I20" s="129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8"/>
      <c r="U20" s="129"/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8"/>
      <c r="AG20" s="129"/>
      <c r="AH20" s="127"/>
      <c r="AI20" s="127"/>
      <c r="AJ20" s="127"/>
      <c r="AK20" s="127"/>
      <c r="AL20" s="127"/>
    </row>
    <row r="21" spans="1:38" ht="35.4" customHeight="1">
      <c r="A21" s="15" t="s">
        <v>4</v>
      </c>
      <c r="B21" s="15"/>
      <c r="C21" s="127"/>
      <c r="D21" s="127"/>
      <c r="E21" s="127"/>
      <c r="F21" s="127"/>
      <c r="G21" s="127"/>
      <c r="H21" s="128"/>
      <c r="I21" s="129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8"/>
      <c r="U21" s="129"/>
      <c r="V21" s="127"/>
      <c r="W21" s="127"/>
      <c r="X21" s="127"/>
      <c r="Y21" s="127"/>
      <c r="Z21" s="127"/>
      <c r="AA21" s="127"/>
      <c r="AB21" s="127"/>
      <c r="AC21" s="127"/>
      <c r="AD21" s="127"/>
      <c r="AE21" s="127"/>
      <c r="AF21" s="128"/>
      <c r="AG21" s="129"/>
      <c r="AH21" s="127"/>
      <c r="AI21" s="127"/>
      <c r="AJ21" s="127"/>
      <c r="AK21" s="127"/>
      <c r="AL21" s="127"/>
    </row>
    <row r="22" spans="1:38" ht="35.4" customHeight="1" thickBot="1">
      <c r="A22" s="21" t="s">
        <v>6</v>
      </c>
      <c r="B22" s="21"/>
      <c r="C22" s="116"/>
      <c r="D22" s="116"/>
      <c r="E22" s="116"/>
      <c r="F22" s="116"/>
      <c r="G22" s="116"/>
      <c r="H22" s="117"/>
      <c r="I22" s="37"/>
      <c r="J22" s="38"/>
      <c r="K22" s="38"/>
      <c r="L22" s="38"/>
      <c r="M22" s="38"/>
      <c r="N22" s="38"/>
      <c r="O22" s="116"/>
      <c r="P22" s="116"/>
      <c r="Q22" s="116"/>
      <c r="R22" s="116"/>
      <c r="S22" s="116"/>
      <c r="T22" s="117"/>
      <c r="U22" s="37"/>
      <c r="V22" s="38"/>
      <c r="W22" s="38"/>
      <c r="X22" s="38"/>
      <c r="Y22" s="38"/>
      <c r="Z22" s="38"/>
      <c r="AA22" s="116"/>
      <c r="AB22" s="116"/>
      <c r="AC22" s="116"/>
      <c r="AD22" s="116"/>
      <c r="AE22" s="116"/>
      <c r="AF22" s="117"/>
      <c r="AG22" s="37"/>
      <c r="AH22" s="38"/>
      <c r="AI22" s="38"/>
      <c r="AJ22" s="38"/>
      <c r="AK22" s="38"/>
      <c r="AL22" s="38"/>
    </row>
    <row r="23" spans="1:38" ht="57" customHeight="1" thickTop="1">
      <c r="A23" s="16" t="s">
        <v>17</v>
      </c>
      <c r="B23" s="16"/>
      <c r="C23" s="42" t="s">
        <v>157</v>
      </c>
      <c r="D23" s="42"/>
      <c r="E23" s="42"/>
      <c r="F23" s="42"/>
      <c r="G23" s="42"/>
      <c r="H23" s="43"/>
      <c r="I23" s="18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33"/>
      <c r="U23" s="48"/>
      <c r="V23" s="49"/>
      <c r="W23" s="49"/>
      <c r="X23" s="49"/>
      <c r="Y23" s="49"/>
      <c r="Z23" s="49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</v>
      </c>
      <c r="B30" s="16"/>
      <c r="C30" s="127"/>
      <c r="D30" s="127"/>
      <c r="E30" s="127"/>
      <c r="F30" s="127"/>
      <c r="G30" s="127"/>
      <c r="H30" s="128"/>
      <c r="I30" s="129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8"/>
      <c r="U30" s="129"/>
      <c r="V30" s="127"/>
      <c r="W30" s="127"/>
      <c r="X30" s="127"/>
      <c r="Y30" s="127"/>
      <c r="Z30" s="127"/>
      <c r="AA30" s="127"/>
      <c r="AB30" s="127"/>
      <c r="AC30" s="127"/>
      <c r="AD30" s="127"/>
      <c r="AE30" s="127"/>
      <c r="AF30" s="128"/>
      <c r="AG30" s="129"/>
      <c r="AH30" s="127"/>
      <c r="AI30" s="127"/>
      <c r="AJ30" s="127"/>
      <c r="AK30" s="127"/>
      <c r="AL30" s="127"/>
    </row>
    <row r="31" spans="1:38" ht="35.4" customHeight="1">
      <c r="A31" s="15" t="s">
        <v>4</v>
      </c>
      <c r="B31" s="15"/>
      <c r="C31" s="127"/>
      <c r="D31" s="127"/>
      <c r="E31" s="127"/>
      <c r="F31" s="127"/>
      <c r="G31" s="127"/>
      <c r="H31" s="128"/>
      <c r="I31" s="129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8"/>
      <c r="U31" s="129"/>
      <c r="V31" s="127"/>
      <c r="W31" s="127"/>
      <c r="X31" s="127"/>
      <c r="Y31" s="127"/>
      <c r="Z31" s="127"/>
      <c r="AA31" s="127"/>
      <c r="AB31" s="127"/>
      <c r="AC31" s="127"/>
      <c r="AD31" s="127"/>
      <c r="AE31" s="127"/>
      <c r="AF31" s="128"/>
      <c r="AG31" s="129"/>
      <c r="AH31" s="127"/>
      <c r="AI31" s="127"/>
      <c r="AJ31" s="127"/>
      <c r="AK31" s="127"/>
      <c r="AL31" s="127"/>
    </row>
    <row r="32" spans="1:38" ht="35.4" customHeight="1" thickBot="1">
      <c r="A32" s="21" t="s">
        <v>6</v>
      </c>
      <c r="B32" s="21"/>
      <c r="C32" s="116"/>
      <c r="D32" s="116"/>
      <c r="E32" s="116"/>
      <c r="F32" s="116"/>
      <c r="G32" s="116"/>
      <c r="H32" s="117"/>
      <c r="I32" s="37"/>
      <c r="J32" s="38"/>
      <c r="K32" s="38"/>
      <c r="L32" s="38"/>
      <c r="M32" s="38"/>
      <c r="N32" s="38"/>
      <c r="O32" s="116"/>
      <c r="P32" s="116"/>
      <c r="Q32" s="116"/>
      <c r="R32" s="116"/>
      <c r="S32" s="116"/>
      <c r="T32" s="117"/>
      <c r="U32" s="37"/>
      <c r="V32" s="38"/>
      <c r="W32" s="38"/>
      <c r="X32" s="38"/>
      <c r="Y32" s="38"/>
      <c r="Z32" s="38"/>
      <c r="AA32" s="116"/>
      <c r="AB32" s="116"/>
      <c r="AC32" s="116"/>
      <c r="AD32" s="116"/>
      <c r="AE32" s="116"/>
      <c r="AF32" s="117"/>
      <c r="AG32" s="37"/>
      <c r="AH32" s="38"/>
      <c r="AI32" s="38"/>
      <c r="AJ32" s="38"/>
      <c r="AK32" s="38"/>
      <c r="AL32" s="38"/>
    </row>
    <row r="33" spans="1:38" ht="57" customHeight="1" thickTop="1">
      <c r="A33" s="16" t="s">
        <v>17</v>
      </c>
      <c r="B33" s="16"/>
      <c r="C33" s="54"/>
      <c r="D33" s="54"/>
      <c r="E33" s="54"/>
      <c r="F33" s="54"/>
      <c r="G33" s="54"/>
      <c r="H33" s="56"/>
      <c r="I33" s="18"/>
      <c r="J33" s="19"/>
      <c r="K33" s="19"/>
      <c r="L33" s="19"/>
      <c r="M33" s="19"/>
      <c r="N33" s="19"/>
      <c r="O33" s="54"/>
      <c r="P33" s="54"/>
      <c r="Q33" s="54"/>
      <c r="R33" s="54"/>
      <c r="S33" s="54"/>
      <c r="T33" s="56"/>
      <c r="U33" s="53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7"/>
      <c r="AG33" s="53" t="s">
        <v>158</v>
      </c>
      <c r="AH33" s="54"/>
      <c r="AI33" s="54"/>
      <c r="AJ33" s="54"/>
      <c r="AK33" s="54"/>
      <c r="AL33" s="54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</v>
      </c>
      <c r="B40" s="16"/>
      <c r="C40" s="127"/>
      <c r="D40" s="127"/>
      <c r="E40" s="127"/>
      <c r="F40" s="127"/>
      <c r="G40" s="127"/>
      <c r="H40" s="128"/>
      <c r="I40" s="129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8"/>
      <c r="U40" s="129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128"/>
      <c r="AG40" s="129"/>
      <c r="AH40" s="127"/>
      <c r="AI40" s="127"/>
      <c r="AJ40" s="127"/>
      <c r="AK40" s="127"/>
      <c r="AL40" s="127"/>
    </row>
    <row r="41" spans="1:38" ht="35.4" customHeight="1">
      <c r="A41" s="15" t="s">
        <v>4</v>
      </c>
      <c r="B41" s="15"/>
      <c r="C41" s="127"/>
      <c r="D41" s="127"/>
      <c r="E41" s="127"/>
      <c r="F41" s="127"/>
      <c r="G41" s="127"/>
      <c r="H41" s="128"/>
      <c r="I41" s="129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8"/>
      <c r="U41" s="129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8"/>
      <c r="AG41" s="129"/>
      <c r="AH41" s="127"/>
      <c r="AI41" s="127"/>
      <c r="AJ41" s="127"/>
      <c r="AK41" s="127"/>
      <c r="AL41" s="127"/>
    </row>
    <row r="42" spans="1:38" ht="35.4" customHeight="1" thickBot="1">
      <c r="A42" s="21" t="s">
        <v>6</v>
      </c>
      <c r="B42" s="21"/>
      <c r="C42" s="116"/>
      <c r="D42" s="116"/>
      <c r="E42" s="116"/>
      <c r="F42" s="116"/>
      <c r="G42" s="116"/>
      <c r="H42" s="117"/>
      <c r="I42" s="37"/>
      <c r="J42" s="38"/>
      <c r="K42" s="38"/>
      <c r="L42" s="38"/>
      <c r="M42" s="38"/>
      <c r="N42" s="38"/>
      <c r="O42" s="116"/>
      <c r="P42" s="116"/>
      <c r="Q42" s="116"/>
      <c r="R42" s="116"/>
      <c r="S42" s="116"/>
      <c r="T42" s="117"/>
      <c r="U42" s="37"/>
      <c r="V42" s="38"/>
      <c r="W42" s="38"/>
      <c r="X42" s="38"/>
      <c r="Y42" s="38"/>
      <c r="Z42" s="38"/>
      <c r="AA42" s="116"/>
      <c r="AB42" s="116"/>
      <c r="AC42" s="116"/>
      <c r="AD42" s="116"/>
      <c r="AE42" s="116"/>
      <c r="AF42" s="117"/>
      <c r="AG42" s="37"/>
      <c r="AH42" s="38"/>
      <c r="AI42" s="38"/>
      <c r="AJ42" s="38"/>
      <c r="AK42" s="38"/>
      <c r="AL42" s="38"/>
    </row>
    <row r="43" spans="1:38" ht="57" customHeight="1" thickTop="1">
      <c r="A43" s="16" t="s">
        <v>17</v>
      </c>
      <c r="B43" s="16"/>
      <c r="C43" s="54" t="s">
        <v>159</v>
      </c>
      <c r="D43" s="54"/>
      <c r="E43" s="54"/>
      <c r="F43" s="54"/>
      <c r="G43" s="54"/>
      <c r="H43" s="56"/>
      <c r="I43" s="48" t="s">
        <v>160</v>
      </c>
      <c r="J43" s="49"/>
      <c r="K43" s="49"/>
      <c r="L43" s="49"/>
      <c r="M43" s="49"/>
      <c r="N43" s="49"/>
      <c r="O43" s="54"/>
      <c r="P43" s="54"/>
      <c r="Q43" s="54"/>
      <c r="R43" s="54"/>
      <c r="S43" s="54"/>
      <c r="T43" s="56"/>
      <c r="U43" s="53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7"/>
      <c r="AG43" s="53" t="s">
        <v>161</v>
      </c>
      <c r="AH43" s="54"/>
      <c r="AI43" s="54"/>
      <c r="AJ43" s="54"/>
      <c r="AK43" s="54"/>
      <c r="AL43" s="54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VLOOKUP('参照用（触らない）'!$B1,メンバー!$A$13:$I$17,2,FALSE)</f>
        <v>わざさん</v>
      </c>
      <c r="B48" s="12"/>
      <c r="C48" s="12"/>
      <c r="D48" s="12" t="str">
        <f>VLOOKUP('参照用（触らない）'!$B1,メンバー!$A$13:$I$17,7,FALSE)</f>
        <v>×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VLOOKUP('参照用（触らない）'!$B1,メンバー!$A$3:$I$11,3,FALSE)</f>
        <v>前原A僚太</v>
      </c>
      <c r="P48" s="12"/>
      <c r="Q48" s="12"/>
      <c r="R48" s="12" t="str">
        <f>VLOOKUP('参照用（触らない）'!$B1,メンバー!$A$3:$I$11,7,FALSE)</f>
        <v>〇</v>
      </c>
      <c r="S48" s="12"/>
      <c r="T48" s="12"/>
      <c r="U48" s="13"/>
      <c r="V48" s="11" t="str">
        <f>VLOOKUP('参照用（触らない）'!$B5,メンバー!$A$3:$I$11,3,FALSE)</f>
        <v>齋藤大輝</v>
      </c>
      <c r="W48" s="12"/>
      <c r="X48" s="12"/>
      <c r="Y48" s="13" t="str">
        <f>VLOOKUP('参照用（触らない）'!$B5,メンバー!$A$3:$I$11,7,FALSE)</f>
        <v>〇</v>
      </c>
      <c r="Z48" s="94"/>
      <c r="AA48" s="94"/>
      <c r="AB48" s="95"/>
    </row>
    <row r="49" spans="1:28">
      <c r="A49" s="12" t="str">
        <f>VLOOKUP('参照用（触らない）'!$B2,メンバー!$A$13:$I$17,2,FALSE)</f>
        <v>春田ひなの</v>
      </c>
      <c r="B49" s="12"/>
      <c r="C49" s="12"/>
      <c r="D49" s="12" t="str">
        <f>VLOOKUP('参照用（触らない）'!$B2,メンバー!$A$13:$I$17,7,FALSE)</f>
        <v>13～19※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VLOOKUP('参照用（触らない）'!$B2,メンバー!$A$3:$I$11,3,FALSE)</f>
        <v>北風ゆうたろう</v>
      </c>
      <c r="P49" s="12"/>
      <c r="Q49" s="12"/>
      <c r="R49" s="12" t="str">
        <f>VLOOKUP('参照用（触らない）'!$B2,メンバー!$A$3:$I$11,7,FALSE)</f>
        <v>〇</v>
      </c>
      <c r="S49" s="12"/>
      <c r="T49" s="12"/>
      <c r="U49" s="13"/>
      <c r="V49" s="11" t="str">
        <f>VLOOKUP('参照用（触らない）'!$B6,メンバー!$A$3:$I$11,3,FALSE)</f>
        <v>岡田萌</v>
      </c>
      <c r="W49" s="12"/>
      <c r="X49" s="12"/>
      <c r="Y49" s="13" t="str">
        <f>VLOOKUP('参照用（触らない）'!$B6,メンバー!$A$3:$I$11,7,FALSE)</f>
        <v>18:30～</v>
      </c>
      <c r="Z49" s="94"/>
      <c r="AA49" s="94"/>
      <c r="AB49" s="95"/>
    </row>
    <row r="50" spans="1:28">
      <c r="A50" s="12" t="str">
        <f>VLOOKUP('参照用（触らない）'!$B3,メンバー!$A$13:$I$17,2,FALSE)</f>
        <v>すみほのか</v>
      </c>
      <c r="B50" s="12"/>
      <c r="C50" s="12"/>
      <c r="D50" s="12" t="str">
        <f>VLOOKUP('参照用（触らない）'!$B3,メンバー!$A$13:$I$17,7,FALSE)</f>
        <v>12～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VLOOKUP('参照用（触らない）'!$B3,メンバー!$A$3:$I$11,3,FALSE)</f>
        <v>蒼樹とも</v>
      </c>
      <c r="P50" s="12"/>
      <c r="Q50" s="12"/>
      <c r="R50" s="12" t="str">
        <f>VLOOKUP('参照用（触らない）'!$B3,メンバー!$A$3:$I$11,7,FALSE)</f>
        <v>〇</v>
      </c>
      <c r="S50" s="12"/>
      <c r="T50" s="12"/>
      <c r="U50" s="13"/>
      <c r="V50" s="11" t="str">
        <f>VLOOKUP('参照用（触らない）'!$B7,メンバー!$A$3:$I$11,3,FALSE)</f>
        <v>葵</v>
      </c>
      <c r="W50" s="12"/>
      <c r="X50" s="12"/>
      <c r="Y50" s="13" t="str">
        <f>VLOOKUP('参照用（触らない）'!$B7,メンバー!$A$3:$I$11,7,FALSE)</f>
        <v>19:30～※</v>
      </c>
      <c r="Z50" s="94"/>
      <c r="AA50" s="94"/>
      <c r="AB50" s="95"/>
    </row>
    <row r="51" spans="1:28">
      <c r="A51" s="12" t="str">
        <f>VLOOKUP('参照用（触らない）'!$B4,メンバー!$A$13:$I$17,2,FALSE)</f>
        <v>古川詠介</v>
      </c>
      <c r="B51" s="12"/>
      <c r="C51" s="12"/>
      <c r="D51" s="12" t="str">
        <f>VLOOKUP('参照用（触らない）'!$B4,メンバー!$A$13:$I$17,7,FALSE)</f>
        <v>12～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VLOOKUP('参照用（触らない）'!$B4,メンバー!$A$3:$I$11,3,FALSE)</f>
        <v>N碕</v>
      </c>
      <c r="P51" s="12"/>
      <c r="Q51" s="12"/>
      <c r="R51" s="12" t="str">
        <f>VLOOKUP('参照用（触らない）'!$B4,メンバー!$A$3:$I$11,7,FALSE)</f>
        <v>〇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92">
    <mergeCell ref="AG42:AL42"/>
    <mergeCell ref="I41:N41"/>
    <mergeCell ref="O41:T41"/>
    <mergeCell ref="U41:Z41"/>
    <mergeCell ref="AA41:AF41"/>
    <mergeCell ref="AG41:AL41"/>
    <mergeCell ref="C42:H42"/>
    <mergeCell ref="I42:N42"/>
    <mergeCell ref="O42:T42"/>
    <mergeCell ref="U42:Z42"/>
    <mergeCell ref="AA42:AF42"/>
    <mergeCell ref="AA32:AF32"/>
    <mergeCell ref="AG32:AL32"/>
    <mergeCell ref="A41:B41"/>
    <mergeCell ref="C40:H40"/>
    <mergeCell ref="I40:N40"/>
    <mergeCell ref="O40:T40"/>
    <mergeCell ref="U40:Z40"/>
    <mergeCell ref="AA40:AF40"/>
    <mergeCell ref="AG40:AL40"/>
    <mergeCell ref="C41:H41"/>
    <mergeCell ref="C31:H31"/>
    <mergeCell ref="I31:N31"/>
    <mergeCell ref="O31:T31"/>
    <mergeCell ref="U31:Z31"/>
    <mergeCell ref="C32:H32"/>
    <mergeCell ref="I32:N32"/>
    <mergeCell ref="O32:T32"/>
    <mergeCell ref="U32:Z32"/>
    <mergeCell ref="C30:H30"/>
    <mergeCell ref="I30:N30"/>
    <mergeCell ref="O30:T30"/>
    <mergeCell ref="U30:Z30"/>
    <mergeCell ref="AA30:AF30"/>
    <mergeCell ref="AG30:AL30"/>
    <mergeCell ref="C22:H22"/>
    <mergeCell ref="I22:N22"/>
    <mergeCell ref="O22:T22"/>
    <mergeCell ref="U22:Z22"/>
    <mergeCell ref="AA22:AF22"/>
    <mergeCell ref="AG22:AL22"/>
    <mergeCell ref="I20:N20"/>
    <mergeCell ref="O20:T20"/>
    <mergeCell ref="U20:Z20"/>
    <mergeCell ref="AA20:AF20"/>
    <mergeCell ref="AG20:AL20"/>
    <mergeCell ref="O21:T21"/>
    <mergeCell ref="U21:Z21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G39:AL39"/>
    <mergeCell ref="A40:B40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  <mergeCell ref="I33:N33"/>
    <mergeCell ref="O33:T33"/>
    <mergeCell ref="U33:Z33"/>
    <mergeCell ref="AA33:AF33"/>
    <mergeCell ref="AG33:AL33"/>
    <mergeCell ref="AG29:AL29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C21:H21"/>
    <mergeCell ref="I21:N21"/>
    <mergeCell ref="AA21:AF21"/>
    <mergeCell ref="AG21:AL21"/>
    <mergeCell ref="C20:H20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AA9:AF9"/>
    <mergeCell ref="AG9:AL9"/>
    <mergeCell ref="A10:B10"/>
    <mergeCell ref="C10:H10"/>
    <mergeCell ref="I10:N10"/>
    <mergeCell ref="O10:T10"/>
    <mergeCell ref="U10:Z10"/>
    <mergeCell ref="AA10:AF10"/>
    <mergeCell ref="AG10:AL10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</mergeCells>
  <phoneticPr fontId="2"/>
  <pageMargins left="0.7" right="0.7" top="0.75" bottom="0.75" header="0.3" footer="0.3"/>
  <pageSetup paperSize="9" scale="55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84DBC-164B-4207-885F-6BA37EA17020}">
  <sheetPr>
    <pageSetUpPr fitToPage="1"/>
  </sheetPr>
  <dimension ref="A1:AL51"/>
  <sheetViews>
    <sheetView view="pageBreakPreview" topLeftCell="A28" zoomScale="60" zoomScaleNormal="100" zoomScalePageLayoutView="75" workbookViewId="0">
      <selection activeCell="A9" sqref="A9:B9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102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104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103</v>
      </c>
      <c r="D2" s="12"/>
      <c r="E2" s="12"/>
      <c r="F2" s="12"/>
      <c r="G2" s="12"/>
      <c r="H2" s="12"/>
      <c r="I2" s="12"/>
      <c r="J2" s="12"/>
      <c r="L2" s="12" t="s">
        <v>31</v>
      </c>
      <c r="M2" s="12"/>
      <c r="N2" s="12"/>
      <c r="O2" s="12"/>
      <c r="P2" s="12"/>
      <c r="Q2" s="12"/>
      <c r="R2" s="12" t="s">
        <v>33</v>
      </c>
      <c r="S2" s="12"/>
      <c r="T2" s="12"/>
      <c r="U2" s="12"/>
      <c r="W2" s="15" t="s">
        <v>23</v>
      </c>
      <c r="X2" s="15"/>
      <c r="Y2" s="15"/>
      <c r="Z2" s="15"/>
      <c r="AA2" s="12" t="s">
        <v>105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/>
      <c r="M3" s="12"/>
      <c r="N3" s="12"/>
      <c r="O3" s="12"/>
      <c r="P3" s="12"/>
      <c r="Q3" s="12"/>
      <c r="R3" s="12"/>
      <c r="S3" s="12"/>
      <c r="T3" s="12"/>
      <c r="U3" s="12"/>
      <c r="W3" s="103" t="s">
        <v>24</v>
      </c>
      <c r="X3" s="99"/>
      <c r="Y3" s="99"/>
      <c r="Z3" s="100"/>
      <c r="AA3" s="12" t="s">
        <v>108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04"/>
      <c r="X4" s="101"/>
      <c r="Y4" s="101"/>
      <c r="Z4" s="102"/>
      <c r="AA4" s="12" t="s">
        <v>107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>
      <c r="W5" s="105"/>
      <c r="X5" s="106"/>
      <c r="Y5" s="106"/>
      <c r="Z5" s="107"/>
      <c r="AA5" s="12" t="s">
        <v>106</v>
      </c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8" spans="1:38">
      <c r="A8" s="1" t="s">
        <v>115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</v>
      </c>
      <c r="B10" s="16"/>
      <c r="C10" s="71" t="s">
        <v>99</v>
      </c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2"/>
      <c r="O10" s="60" t="s">
        <v>113</v>
      </c>
      <c r="P10" s="61"/>
      <c r="Q10" s="61"/>
      <c r="R10" s="61"/>
      <c r="S10" s="61"/>
      <c r="T10" s="62"/>
      <c r="U10" s="71" t="s">
        <v>52</v>
      </c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72"/>
    </row>
    <row r="11" spans="1:38" ht="35.4" customHeight="1">
      <c r="A11" s="15" t="s">
        <v>38</v>
      </c>
      <c r="B11" s="15"/>
      <c r="C11" s="8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5"/>
      <c r="O11" s="63"/>
      <c r="P11" s="98"/>
      <c r="Q11" s="98"/>
      <c r="R11" s="98"/>
      <c r="S11" s="98"/>
      <c r="T11" s="65"/>
      <c r="U11" s="84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79"/>
    </row>
    <row r="12" spans="1:38" ht="35.4" customHeight="1" thickBot="1">
      <c r="A12" s="21" t="s">
        <v>39</v>
      </c>
      <c r="B12" s="21"/>
      <c r="C12" s="69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8"/>
      <c r="O12" s="66"/>
      <c r="P12" s="67"/>
      <c r="Q12" s="67"/>
      <c r="R12" s="67"/>
      <c r="S12" s="67"/>
      <c r="T12" s="68"/>
      <c r="U12" s="69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70"/>
    </row>
    <row r="13" spans="1:38" ht="57" customHeight="1" thickTop="1">
      <c r="A13" s="16" t="s">
        <v>17</v>
      </c>
      <c r="B13" s="16"/>
      <c r="C13" s="42"/>
      <c r="D13" s="42"/>
      <c r="E13" s="42"/>
      <c r="F13" s="42"/>
      <c r="G13" s="42"/>
      <c r="H13" s="43"/>
      <c r="I13" s="18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33"/>
      <c r="U13" s="39"/>
      <c r="V13" s="40"/>
      <c r="W13" s="40"/>
      <c r="X13" s="40"/>
      <c r="Y13" s="40"/>
      <c r="Z13" s="41"/>
      <c r="AA13" s="19"/>
      <c r="AB13" s="19"/>
      <c r="AC13" s="19"/>
      <c r="AD13" s="19"/>
      <c r="AE13" s="19"/>
      <c r="AF13" s="3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</v>
      </c>
      <c r="B20" s="16"/>
      <c r="C20" s="60" t="s">
        <v>67</v>
      </c>
      <c r="D20" s="61"/>
      <c r="E20" s="61"/>
      <c r="F20" s="61"/>
      <c r="G20" s="61"/>
      <c r="H20" s="61"/>
      <c r="I20" s="61" t="s">
        <v>97</v>
      </c>
      <c r="J20" s="61"/>
      <c r="K20" s="61"/>
      <c r="L20" s="61"/>
      <c r="M20" s="61"/>
      <c r="N20" s="72"/>
      <c r="O20" s="61" t="s">
        <v>111</v>
      </c>
      <c r="P20" s="61"/>
      <c r="Q20" s="61"/>
      <c r="R20" s="61"/>
      <c r="S20" s="61"/>
      <c r="T20" s="72"/>
      <c r="U20" s="61" t="s">
        <v>110</v>
      </c>
      <c r="V20" s="61"/>
      <c r="W20" s="61"/>
      <c r="X20" s="61"/>
      <c r="Y20" s="61"/>
      <c r="Z20" s="72"/>
      <c r="AA20" s="60" t="s">
        <v>56</v>
      </c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72"/>
    </row>
    <row r="21" spans="1:38" ht="35.4" customHeight="1">
      <c r="A21" s="15" t="s">
        <v>38</v>
      </c>
      <c r="B21" s="15"/>
      <c r="C21" s="63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79"/>
      <c r="O21" s="98"/>
      <c r="P21" s="98"/>
      <c r="Q21" s="98"/>
      <c r="R21" s="98"/>
      <c r="S21" s="98"/>
      <c r="T21" s="79"/>
      <c r="U21" s="98"/>
      <c r="V21" s="98"/>
      <c r="W21" s="98"/>
      <c r="X21" s="98"/>
      <c r="Y21" s="98"/>
      <c r="Z21" s="79"/>
      <c r="AA21" s="63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79"/>
    </row>
    <row r="22" spans="1:38" ht="35.4" customHeight="1" thickBot="1">
      <c r="A22" s="21" t="s">
        <v>39</v>
      </c>
      <c r="B22" s="21"/>
      <c r="C22" s="66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70"/>
      <c r="O22" s="67"/>
      <c r="P22" s="67"/>
      <c r="Q22" s="67"/>
      <c r="R22" s="67"/>
      <c r="S22" s="67"/>
      <c r="T22" s="70"/>
      <c r="U22" s="67"/>
      <c r="V22" s="67"/>
      <c r="W22" s="67"/>
      <c r="X22" s="67"/>
      <c r="Y22" s="67"/>
      <c r="Z22" s="70"/>
      <c r="AA22" s="66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70"/>
    </row>
    <row r="23" spans="1:38" ht="57" customHeight="1" thickTop="1">
      <c r="A23" s="16" t="s">
        <v>17</v>
      </c>
      <c r="B23" s="16"/>
      <c r="C23" s="42"/>
      <c r="D23" s="42"/>
      <c r="E23" s="42"/>
      <c r="F23" s="42"/>
      <c r="G23" s="42"/>
      <c r="H23" s="43"/>
      <c r="I23" s="18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33"/>
      <c r="U23" s="48"/>
      <c r="V23" s="49"/>
      <c r="W23" s="49"/>
      <c r="X23" s="49"/>
      <c r="Y23" s="49"/>
      <c r="Z23" s="49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</v>
      </c>
      <c r="B30" s="16"/>
      <c r="C30" s="60" t="s">
        <v>56</v>
      </c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72"/>
      <c r="O30" s="60" t="s">
        <v>93</v>
      </c>
      <c r="P30" s="61"/>
      <c r="Q30" s="61"/>
      <c r="R30" s="61"/>
      <c r="S30" s="61"/>
      <c r="T30" s="62"/>
      <c r="U30" s="61" t="s">
        <v>112</v>
      </c>
      <c r="V30" s="61"/>
      <c r="W30" s="61"/>
      <c r="X30" s="61"/>
      <c r="Y30" s="61"/>
      <c r="Z30" s="72"/>
      <c r="AA30" s="61" t="s">
        <v>109</v>
      </c>
      <c r="AB30" s="61"/>
      <c r="AC30" s="61"/>
      <c r="AD30" s="61"/>
      <c r="AE30" s="61"/>
      <c r="AF30" s="72"/>
      <c r="AG30" s="60" t="s">
        <v>63</v>
      </c>
      <c r="AH30" s="61"/>
      <c r="AI30" s="61"/>
      <c r="AJ30" s="61"/>
      <c r="AK30" s="61"/>
      <c r="AL30" s="61"/>
    </row>
    <row r="31" spans="1:38" ht="35.4" customHeight="1">
      <c r="A31" s="15" t="s">
        <v>38</v>
      </c>
      <c r="B31" s="15"/>
      <c r="C31" s="63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79"/>
      <c r="O31" s="63"/>
      <c r="P31" s="64"/>
      <c r="Q31" s="64"/>
      <c r="R31" s="64"/>
      <c r="S31" s="64"/>
      <c r="T31" s="65"/>
      <c r="U31" s="98"/>
      <c r="V31" s="98"/>
      <c r="W31" s="98"/>
      <c r="X31" s="98"/>
      <c r="Y31" s="98"/>
      <c r="Z31" s="79"/>
      <c r="AA31" s="98"/>
      <c r="AB31" s="98"/>
      <c r="AC31" s="98"/>
      <c r="AD31" s="98"/>
      <c r="AE31" s="98"/>
      <c r="AF31" s="79"/>
      <c r="AG31" s="63"/>
      <c r="AH31" s="98"/>
      <c r="AI31" s="98"/>
      <c r="AJ31" s="98"/>
      <c r="AK31" s="98"/>
      <c r="AL31" s="98"/>
    </row>
    <row r="32" spans="1:38" ht="35.4" customHeight="1" thickBot="1">
      <c r="A32" s="21" t="s">
        <v>39</v>
      </c>
      <c r="B32" s="21"/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70"/>
      <c r="O32" s="66"/>
      <c r="P32" s="67"/>
      <c r="Q32" s="67"/>
      <c r="R32" s="67"/>
      <c r="S32" s="67"/>
      <c r="T32" s="68"/>
      <c r="U32" s="67"/>
      <c r="V32" s="67"/>
      <c r="W32" s="67"/>
      <c r="X32" s="67"/>
      <c r="Y32" s="67"/>
      <c r="Z32" s="70"/>
      <c r="AA32" s="67"/>
      <c r="AB32" s="67"/>
      <c r="AC32" s="67"/>
      <c r="AD32" s="67"/>
      <c r="AE32" s="67"/>
      <c r="AF32" s="70"/>
      <c r="AG32" s="66"/>
      <c r="AH32" s="67"/>
      <c r="AI32" s="67"/>
      <c r="AJ32" s="67"/>
      <c r="AK32" s="67"/>
      <c r="AL32" s="67"/>
    </row>
    <row r="33" spans="1:38" ht="57" customHeight="1" thickTop="1">
      <c r="A33" s="16" t="s">
        <v>17</v>
      </c>
      <c r="B33" s="16"/>
      <c r="C33" s="54"/>
      <c r="D33" s="54"/>
      <c r="E33" s="54"/>
      <c r="F33" s="54"/>
      <c r="G33" s="54"/>
      <c r="H33" s="56"/>
      <c r="I33" s="18"/>
      <c r="J33" s="19"/>
      <c r="K33" s="19"/>
      <c r="L33" s="19"/>
      <c r="M33" s="19"/>
      <c r="N33" s="19"/>
      <c r="O33" s="54"/>
      <c r="P33" s="54"/>
      <c r="Q33" s="54"/>
      <c r="R33" s="54"/>
      <c r="S33" s="54"/>
      <c r="T33" s="56"/>
      <c r="U33" s="53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7"/>
      <c r="AG33" s="53"/>
      <c r="AH33" s="54"/>
      <c r="AI33" s="54"/>
      <c r="AJ33" s="54"/>
      <c r="AK33" s="54"/>
      <c r="AL33" s="54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</v>
      </c>
      <c r="B40" s="16"/>
      <c r="C40" s="71" t="s">
        <v>63</v>
      </c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72"/>
      <c r="U40" s="60" t="s">
        <v>93</v>
      </c>
      <c r="V40" s="61"/>
      <c r="W40" s="61"/>
      <c r="X40" s="61"/>
      <c r="Y40" s="61"/>
      <c r="Z40" s="62"/>
      <c r="AA40" s="61" t="s">
        <v>46</v>
      </c>
      <c r="AB40" s="61"/>
      <c r="AC40" s="61"/>
      <c r="AD40" s="61"/>
      <c r="AE40" s="61"/>
      <c r="AF40" s="61"/>
      <c r="AG40" s="71" t="s">
        <v>114</v>
      </c>
      <c r="AH40" s="61"/>
      <c r="AI40" s="61"/>
      <c r="AJ40" s="61"/>
      <c r="AK40" s="61"/>
      <c r="AL40" s="72"/>
    </row>
    <row r="41" spans="1:38" ht="35.4" customHeight="1">
      <c r="A41" s="15" t="s">
        <v>38</v>
      </c>
      <c r="B41" s="15"/>
      <c r="C41" s="84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79"/>
      <c r="U41" s="63"/>
      <c r="V41" s="64"/>
      <c r="W41" s="64"/>
      <c r="X41" s="64"/>
      <c r="Y41" s="64"/>
      <c r="Z41" s="65"/>
      <c r="AA41" s="64"/>
      <c r="AB41" s="64"/>
      <c r="AC41" s="64"/>
      <c r="AD41" s="64"/>
      <c r="AE41" s="64"/>
      <c r="AF41" s="64"/>
      <c r="AG41" s="84"/>
      <c r="AH41" s="98"/>
      <c r="AI41" s="98"/>
      <c r="AJ41" s="98"/>
      <c r="AK41" s="98"/>
      <c r="AL41" s="79"/>
    </row>
    <row r="42" spans="1:38" ht="35.4" customHeight="1" thickBot="1">
      <c r="A42" s="21" t="s">
        <v>39</v>
      </c>
      <c r="B42" s="21"/>
      <c r="C42" s="69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70"/>
      <c r="U42" s="66"/>
      <c r="V42" s="67"/>
      <c r="W42" s="67"/>
      <c r="X42" s="67"/>
      <c r="Y42" s="67"/>
      <c r="Z42" s="68"/>
      <c r="AA42" s="67"/>
      <c r="AB42" s="67"/>
      <c r="AC42" s="67"/>
      <c r="AD42" s="67"/>
      <c r="AE42" s="67"/>
      <c r="AF42" s="67"/>
      <c r="AG42" s="69"/>
      <c r="AH42" s="67"/>
      <c r="AI42" s="67"/>
      <c r="AJ42" s="67"/>
      <c r="AK42" s="67"/>
      <c r="AL42" s="70"/>
    </row>
    <row r="43" spans="1:38" ht="57" customHeight="1" thickTop="1">
      <c r="A43" s="16" t="s">
        <v>17</v>
      </c>
      <c r="B43" s="16"/>
      <c r="C43" s="54"/>
      <c r="D43" s="54"/>
      <c r="E43" s="54"/>
      <c r="F43" s="54"/>
      <c r="G43" s="54"/>
      <c r="H43" s="56"/>
      <c r="I43" s="48"/>
      <c r="J43" s="49"/>
      <c r="K43" s="49"/>
      <c r="L43" s="49"/>
      <c r="M43" s="49"/>
      <c r="N43" s="49"/>
      <c r="O43" s="54"/>
      <c r="P43" s="54"/>
      <c r="Q43" s="54"/>
      <c r="R43" s="54"/>
      <c r="S43" s="54"/>
      <c r="T43" s="56"/>
      <c r="U43" s="53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7"/>
      <c r="AG43" s="53"/>
      <c r="AH43" s="54"/>
      <c r="AI43" s="54"/>
      <c r="AJ43" s="54"/>
      <c r="AK43" s="54"/>
      <c r="AL43" s="54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VLOOKUP('参照用（触らない）'!$B1,メンバー!$A$13:$I$17,2,FALSE)</f>
        <v>わざさん</v>
      </c>
      <c r="B48" s="12"/>
      <c r="C48" s="12"/>
      <c r="D48" s="12" t="str">
        <f>VLOOKUP('参照用（触らない）'!$B1,メンバー!$A$13:$I$17,8,FALSE)</f>
        <v>〇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VLOOKUP('参照用（触らない）'!$B1,メンバー!$A$3:$I$11,3,FALSE)</f>
        <v>前原A僚太</v>
      </c>
      <c r="P48" s="12"/>
      <c r="Q48" s="12"/>
      <c r="R48" s="12" t="str">
        <f>VLOOKUP('参照用（触らない）'!$B1,メンバー!$A$3:$I$11,8,FALSE)</f>
        <v>〇</v>
      </c>
      <c r="S48" s="12"/>
      <c r="T48" s="12"/>
      <c r="U48" s="13"/>
      <c r="V48" s="11" t="str">
        <f>VLOOKUP('参照用（触らない）'!$B5,メンバー!$A$3:$I$11,3,FALSE)</f>
        <v>齋藤大輝</v>
      </c>
      <c r="W48" s="12"/>
      <c r="X48" s="12"/>
      <c r="Y48" s="13" t="str">
        <f>VLOOKUP('参照用（触らない）'!$B5,メンバー!$A$3:$I$11,8,FALSE)</f>
        <v>〇</v>
      </c>
      <c r="Z48" s="94"/>
      <c r="AA48" s="94"/>
      <c r="AB48" s="95"/>
    </row>
    <row r="49" spans="1:28">
      <c r="A49" s="12" t="str">
        <f>VLOOKUP('参照用（触らない）'!$B2,メンバー!$A$13:$I$17,2,FALSE)</f>
        <v>春田ひなの</v>
      </c>
      <c r="B49" s="12"/>
      <c r="C49" s="12"/>
      <c r="D49" s="12" t="str">
        <f>VLOOKUP('参照用（触らない）'!$B2,メンバー!$A$13:$I$17,8,FALSE)</f>
        <v>〇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VLOOKUP('参照用（触らない）'!$B2,メンバー!$A$3:$I$11,3,FALSE)</f>
        <v>北風ゆうたろう</v>
      </c>
      <c r="P49" s="12"/>
      <c r="Q49" s="12"/>
      <c r="R49" s="12" t="str">
        <f>VLOOKUP('参照用（触らない）'!$B2,メンバー!$A$3:$I$11,8,FALSE)</f>
        <v>〇</v>
      </c>
      <c r="S49" s="12"/>
      <c r="T49" s="12"/>
      <c r="U49" s="13"/>
      <c r="V49" s="11" t="str">
        <f>VLOOKUP('参照用（触らない）'!$B6,メンバー!$A$3:$I$11,3,FALSE)</f>
        <v>岡田萌</v>
      </c>
      <c r="W49" s="12"/>
      <c r="X49" s="12"/>
      <c r="Y49" s="13" t="str">
        <f>VLOOKUP('参照用（触らない）'!$B6,メンバー!$A$3:$I$11,8,FALSE)</f>
        <v>〇</v>
      </c>
      <c r="Z49" s="94"/>
      <c r="AA49" s="94"/>
      <c r="AB49" s="95"/>
    </row>
    <row r="50" spans="1:28">
      <c r="A50" s="12" t="str">
        <f>VLOOKUP('参照用（触らない）'!$B3,メンバー!$A$13:$I$17,2,FALSE)</f>
        <v>すみほのか</v>
      </c>
      <c r="B50" s="12"/>
      <c r="C50" s="12"/>
      <c r="D50" s="12" t="str">
        <f>VLOOKUP('参照用（触らない）'!$B3,メンバー!$A$13:$I$17,8,FALSE)</f>
        <v>〇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VLOOKUP('参照用（触らない）'!$B3,メンバー!$A$3:$I$11,3,FALSE)</f>
        <v>蒼樹とも</v>
      </c>
      <c r="P50" s="12"/>
      <c r="Q50" s="12"/>
      <c r="R50" s="12" t="str">
        <f>VLOOKUP('参照用（触らない）'!$B3,メンバー!$A$3:$I$11,8,FALSE)</f>
        <v>〇</v>
      </c>
      <c r="S50" s="12"/>
      <c r="T50" s="12"/>
      <c r="U50" s="13"/>
      <c r="V50" s="11" t="str">
        <f>VLOOKUP('参照用（触らない）'!$B7,メンバー!$A$3:$I$11,3,FALSE)</f>
        <v>葵</v>
      </c>
      <c r="W50" s="12"/>
      <c r="X50" s="12"/>
      <c r="Y50" s="13" t="str">
        <f>VLOOKUP('参照用（触らない）'!$B7,メンバー!$A$3:$I$11,8,FALSE)</f>
        <v>〇</v>
      </c>
      <c r="Z50" s="94"/>
      <c r="AA50" s="94"/>
      <c r="AB50" s="95"/>
    </row>
    <row r="51" spans="1:28">
      <c r="A51" s="12" t="str">
        <f>VLOOKUP('参照用（触らない）'!$B4,メンバー!$A$13:$I$17,2,FALSE)</f>
        <v>古川詠介</v>
      </c>
      <c r="B51" s="12"/>
      <c r="C51" s="12"/>
      <c r="D51" s="12" t="str">
        <f>VLOOKUP('参照用（触らない）'!$B4,メンバー!$A$13:$I$17,8,FALSE)</f>
        <v>〇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VLOOKUP('参照用（触らない）'!$B4,メンバー!$A$3:$I$11,3,FALSE)</f>
        <v>N碕</v>
      </c>
      <c r="P51" s="12"/>
      <c r="Q51" s="12"/>
      <c r="R51" s="12" t="str">
        <f>VLOOKUP('参照用（触らない）'!$B4,メンバー!$A$3:$I$11,8,FALSE)</f>
        <v>〇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37">
    <mergeCell ref="AA20:AL22"/>
    <mergeCell ref="C30:N32"/>
    <mergeCell ref="U30:Z32"/>
    <mergeCell ref="O10:T12"/>
    <mergeCell ref="U10:AL12"/>
    <mergeCell ref="C10:N12"/>
    <mergeCell ref="C20:H22"/>
    <mergeCell ref="I20:N22"/>
    <mergeCell ref="O20:T22"/>
    <mergeCell ref="A41:B41"/>
    <mergeCell ref="AG30:AL32"/>
    <mergeCell ref="C40:T42"/>
    <mergeCell ref="U40:Z42"/>
    <mergeCell ref="AA40:AF42"/>
    <mergeCell ref="AA30:AF32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G39:AL39"/>
    <mergeCell ref="A40:B40"/>
    <mergeCell ref="AG40:AL42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  <mergeCell ref="I33:N33"/>
    <mergeCell ref="O33:T33"/>
    <mergeCell ref="U33:Z33"/>
    <mergeCell ref="AA33:AF33"/>
    <mergeCell ref="AG33:AL33"/>
    <mergeCell ref="AG29:AL29"/>
    <mergeCell ref="A30:B30"/>
    <mergeCell ref="O30:T32"/>
    <mergeCell ref="A31:B31"/>
    <mergeCell ref="A29:B29"/>
    <mergeCell ref="C29:H29"/>
    <mergeCell ref="I29:N29"/>
    <mergeCell ref="O29:T29"/>
    <mergeCell ref="U29:Z29"/>
    <mergeCell ref="AA29:AF29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U20:Z22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12:B12"/>
    <mergeCell ref="A11:B11"/>
    <mergeCell ref="AA9:AF9"/>
    <mergeCell ref="AG9:AL9"/>
    <mergeCell ref="A10:B10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6DB7-81EA-4429-82D9-621ABB15F244}">
  <sheetPr>
    <pageSetUpPr fitToPage="1"/>
  </sheetPr>
  <dimension ref="A1:AL51"/>
  <sheetViews>
    <sheetView view="pageBreakPreview" zoomScale="60" zoomScaleNormal="100" zoomScalePageLayoutView="75" workbookViewId="0">
      <selection activeCell="I20" sqref="I20:N22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102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104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103</v>
      </c>
      <c r="D2" s="12"/>
      <c r="E2" s="12"/>
      <c r="F2" s="12"/>
      <c r="G2" s="12"/>
      <c r="H2" s="12"/>
      <c r="I2" s="12"/>
      <c r="J2" s="12"/>
      <c r="L2" s="12" t="s">
        <v>31</v>
      </c>
      <c r="M2" s="12"/>
      <c r="N2" s="12"/>
      <c r="O2" s="12"/>
      <c r="P2" s="12"/>
      <c r="Q2" s="12"/>
      <c r="R2" s="12" t="s">
        <v>33</v>
      </c>
      <c r="S2" s="12"/>
      <c r="T2" s="12"/>
      <c r="U2" s="12"/>
      <c r="W2" s="15" t="s">
        <v>23</v>
      </c>
      <c r="X2" s="15"/>
      <c r="Y2" s="15"/>
      <c r="Z2" s="15"/>
      <c r="AA2" s="12" t="s">
        <v>105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/>
      <c r="M3" s="12"/>
      <c r="N3" s="12"/>
      <c r="O3" s="12"/>
      <c r="P3" s="12"/>
      <c r="Q3" s="12"/>
      <c r="R3" s="12"/>
      <c r="S3" s="12"/>
      <c r="T3" s="12"/>
      <c r="U3" s="12"/>
      <c r="W3" s="103" t="s">
        <v>24</v>
      </c>
      <c r="X3" s="99"/>
      <c r="Y3" s="99"/>
      <c r="Z3" s="100"/>
      <c r="AA3" s="12" t="s">
        <v>108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04"/>
      <c r="X4" s="101"/>
      <c r="Y4" s="101"/>
      <c r="Z4" s="102"/>
      <c r="AA4" s="12" t="s">
        <v>107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>
      <c r="W5" s="105"/>
      <c r="X5" s="106"/>
      <c r="Y5" s="106"/>
      <c r="Z5" s="107"/>
      <c r="AA5" s="12" t="s">
        <v>106</v>
      </c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8" spans="1:38">
      <c r="A8" s="1" t="s">
        <v>101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</v>
      </c>
      <c r="B10" s="16"/>
      <c r="C10" s="71" t="s">
        <v>99</v>
      </c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2"/>
      <c r="O10" s="60" t="s">
        <v>98</v>
      </c>
      <c r="P10" s="61"/>
      <c r="Q10" s="61"/>
      <c r="R10" s="61"/>
      <c r="S10" s="61"/>
      <c r="T10" s="62"/>
      <c r="U10" s="71" t="s">
        <v>67</v>
      </c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72"/>
    </row>
    <row r="11" spans="1:38" ht="35.4" customHeight="1">
      <c r="A11" s="15" t="s">
        <v>38</v>
      </c>
      <c r="B11" s="15"/>
      <c r="C11" s="8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5"/>
      <c r="O11" s="63"/>
      <c r="P11" s="98"/>
      <c r="Q11" s="98"/>
      <c r="R11" s="98"/>
      <c r="S11" s="98"/>
      <c r="T11" s="65"/>
      <c r="U11" s="84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79"/>
    </row>
    <row r="12" spans="1:38" ht="35.4" customHeight="1" thickBot="1">
      <c r="A12" s="21" t="s">
        <v>39</v>
      </c>
      <c r="B12" s="21"/>
      <c r="C12" s="69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8"/>
      <c r="O12" s="66"/>
      <c r="P12" s="67"/>
      <c r="Q12" s="67"/>
      <c r="R12" s="67"/>
      <c r="S12" s="67"/>
      <c r="T12" s="68"/>
      <c r="U12" s="69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70"/>
    </row>
    <row r="13" spans="1:38" ht="57" customHeight="1" thickTop="1">
      <c r="A13" s="16" t="s">
        <v>17</v>
      </c>
      <c r="B13" s="16"/>
      <c r="C13" s="42"/>
      <c r="D13" s="42"/>
      <c r="E13" s="42"/>
      <c r="F13" s="42"/>
      <c r="G13" s="42"/>
      <c r="H13" s="43"/>
      <c r="I13" s="18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33"/>
      <c r="U13" s="39"/>
      <c r="V13" s="40"/>
      <c r="W13" s="40"/>
      <c r="X13" s="40"/>
      <c r="Y13" s="40"/>
      <c r="Z13" s="41"/>
      <c r="AA13" s="19"/>
      <c r="AB13" s="19"/>
      <c r="AC13" s="19"/>
      <c r="AD13" s="19"/>
      <c r="AE13" s="19"/>
      <c r="AF13" s="3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</v>
      </c>
      <c r="B20" s="16"/>
      <c r="C20" s="60" t="s">
        <v>67</v>
      </c>
      <c r="D20" s="61"/>
      <c r="E20" s="61"/>
      <c r="F20" s="61"/>
      <c r="G20" s="61"/>
      <c r="H20" s="61"/>
      <c r="I20" s="61" t="s">
        <v>97</v>
      </c>
      <c r="J20" s="61"/>
      <c r="K20" s="61"/>
      <c r="L20" s="61"/>
      <c r="M20" s="61"/>
      <c r="N20" s="72"/>
      <c r="O20" s="61" t="s">
        <v>100</v>
      </c>
      <c r="P20" s="61"/>
      <c r="Q20" s="61"/>
      <c r="R20" s="61"/>
      <c r="S20" s="61"/>
      <c r="T20" s="72"/>
      <c r="U20" s="61" t="s">
        <v>96</v>
      </c>
      <c r="V20" s="61"/>
      <c r="W20" s="61"/>
      <c r="X20" s="61"/>
      <c r="Y20" s="61"/>
      <c r="Z20" s="72"/>
      <c r="AA20" s="60" t="s">
        <v>95</v>
      </c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72"/>
    </row>
    <row r="21" spans="1:38" ht="35.4" customHeight="1">
      <c r="A21" s="15" t="s">
        <v>38</v>
      </c>
      <c r="B21" s="15"/>
      <c r="C21" s="63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79"/>
      <c r="O21" s="98"/>
      <c r="P21" s="98"/>
      <c r="Q21" s="98"/>
      <c r="R21" s="98"/>
      <c r="S21" s="98"/>
      <c r="T21" s="79"/>
      <c r="U21" s="98"/>
      <c r="V21" s="98"/>
      <c r="W21" s="98"/>
      <c r="X21" s="98"/>
      <c r="Y21" s="98"/>
      <c r="Z21" s="79"/>
      <c r="AA21" s="63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79"/>
    </row>
    <row r="22" spans="1:38" ht="35.4" customHeight="1" thickBot="1">
      <c r="A22" s="21" t="s">
        <v>39</v>
      </c>
      <c r="B22" s="21"/>
      <c r="C22" s="66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70"/>
      <c r="O22" s="67"/>
      <c r="P22" s="67"/>
      <c r="Q22" s="67"/>
      <c r="R22" s="67"/>
      <c r="S22" s="67"/>
      <c r="T22" s="70"/>
      <c r="U22" s="67"/>
      <c r="V22" s="67"/>
      <c r="W22" s="67"/>
      <c r="X22" s="67"/>
      <c r="Y22" s="67"/>
      <c r="Z22" s="70"/>
      <c r="AA22" s="66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70"/>
    </row>
    <row r="23" spans="1:38" ht="57" customHeight="1" thickTop="1">
      <c r="A23" s="16" t="s">
        <v>17</v>
      </c>
      <c r="B23" s="16"/>
      <c r="C23" s="42"/>
      <c r="D23" s="42"/>
      <c r="E23" s="42"/>
      <c r="F23" s="42"/>
      <c r="G23" s="42"/>
      <c r="H23" s="43"/>
      <c r="I23" s="18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33"/>
      <c r="U23" s="48"/>
      <c r="V23" s="49"/>
      <c r="W23" s="49"/>
      <c r="X23" s="49"/>
      <c r="Y23" s="49"/>
      <c r="Z23" s="49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</v>
      </c>
      <c r="B30" s="16"/>
      <c r="C30" s="60" t="s">
        <v>95</v>
      </c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72"/>
      <c r="O30" s="60" t="s">
        <v>93</v>
      </c>
      <c r="P30" s="61"/>
      <c r="Q30" s="61"/>
      <c r="R30" s="61"/>
      <c r="S30" s="61"/>
      <c r="T30" s="62"/>
      <c r="U30" s="60" t="s">
        <v>94</v>
      </c>
      <c r="V30" s="61"/>
      <c r="W30" s="61"/>
      <c r="X30" s="61"/>
      <c r="Y30" s="61"/>
      <c r="Z30" s="62"/>
      <c r="AA30" s="61" t="s">
        <v>68</v>
      </c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72"/>
    </row>
    <row r="31" spans="1:38" ht="35.4" customHeight="1">
      <c r="A31" s="15" t="s">
        <v>38</v>
      </c>
      <c r="B31" s="15"/>
      <c r="C31" s="63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79"/>
      <c r="O31" s="63"/>
      <c r="P31" s="64"/>
      <c r="Q31" s="64"/>
      <c r="R31" s="64"/>
      <c r="S31" s="64"/>
      <c r="T31" s="65"/>
      <c r="U31" s="63"/>
      <c r="V31" s="64"/>
      <c r="W31" s="64"/>
      <c r="X31" s="64"/>
      <c r="Y31" s="64"/>
      <c r="Z31" s="65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79"/>
    </row>
    <row r="32" spans="1:38" ht="35.4" customHeight="1" thickBot="1">
      <c r="A32" s="21" t="s">
        <v>39</v>
      </c>
      <c r="B32" s="21"/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70"/>
      <c r="O32" s="66"/>
      <c r="P32" s="67"/>
      <c r="Q32" s="67"/>
      <c r="R32" s="67"/>
      <c r="S32" s="67"/>
      <c r="T32" s="68"/>
      <c r="U32" s="66"/>
      <c r="V32" s="67"/>
      <c r="W32" s="67"/>
      <c r="X32" s="67"/>
      <c r="Y32" s="67"/>
      <c r="Z32" s="68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70"/>
    </row>
    <row r="33" spans="1:38" ht="57" customHeight="1" thickTop="1">
      <c r="A33" s="16" t="s">
        <v>17</v>
      </c>
      <c r="B33" s="16"/>
      <c r="C33" s="54"/>
      <c r="D33" s="54"/>
      <c r="E33" s="54"/>
      <c r="F33" s="54"/>
      <c r="G33" s="54"/>
      <c r="H33" s="56"/>
      <c r="I33" s="18"/>
      <c r="J33" s="19"/>
      <c r="K33" s="19"/>
      <c r="L33" s="19"/>
      <c r="M33" s="19"/>
      <c r="N33" s="19"/>
      <c r="O33" s="54"/>
      <c r="P33" s="54"/>
      <c r="Q33" s="54"/>
      <c r="R33" s="54"/>
      <c r="S33" s="54"/>
      <c r="T33" s="56"/>
      <c r="U33" s="53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7"/>
      <c r="AG33" s="53"/>
      <c r="AH33" s="54"/>
      <c r="AI33" s="54"/>
      <c r="AJ33" s="54"/>
      <c r="AK33" s="54"/>
      <c r="AL33" s="54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</v>
      </c>
      <c r="B40" s="16"/>
      <c r="C40" s="60" t="s">
        <v>68</v>
      </c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72"/>
    </row>
    <row r="41" spans="1:38" ht="35.4" customHeight="1">
      <c r="A41" s="15" t="s">
        <v>38</v>
      </c>
      <c r="B41" s="15"/>
      <c r="C41" s="63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79"/>
    </row>
    <row r="42" spans="1:38" ht="35.4" customHeight="1" thickBot="1">
      <c r="A42" s="21" t="s">
        <v>39</v>
      </c>
      <c r="B42" s="21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70"/>
    </row>
    <row r="43" spans="1:38" ht="57" customHeight="1" thickTop="1">
      <c r="A43" s="16" t="s">
        <v>17</v>
      </c>
      <c r="B43" s="16"/>
      <c r="C43" s="54"/>
      <c r="D43" s="54"/>
      <c r="E43" s="54"/>
      <c r="F43" s="54"/>
      <c r="G43" s="54"/>
      <c r="H43" s="56"/>
      <c r="I43" s="48"/>
      <c r="J43" s="49"/>
      <c r="K43" s="49"/>
      <c r="L43" s="49"/>
      <c r="M43" s="49"/>
      <c r="N43" s="49"/>
      <c r="O43" s="54"/>
      <c r="P43" s="54"/>
      <c r="Q43" s="54"/>
      <c r="R43" s="54"/>
      <c r="S43" s="54"/>
      <c r="T43" s="56"/>
      <c r="U43" s="53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7"/>
      <c r="AG43" s="53"/>
      <c r="AH43" s="54"/>
      <c r="AI43" s="54"/>
      <c r="AJ43" s="54"/>
      <c r="AK43" s="54"/>
      <c r="AL43" s="54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VLOOKUP('参照用（触らない）'!$B1,メンバー!$A$13:$I$17,2,FALSE)</f>
        <v>わざさん</v>
      </c>
      <c r="B48" s="12"/>
      <c r="C48" s="12"/>
      <c r="D48" s="12" t="str">
        <f>VLOOKUP('参照用（触らない）'!$B1,メンバー!$A$13:$I$17,9,FALSE)</f>
        <v>〇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VLOOKUP('参照用（触らない）'!$B1,メンバー!$A$3:$I$11,3,FALSE)</f>
        <v>前原A僚太</v>
      </c>
      <c r="P48" s="12"/>
      <c r="Q48" s="12"/>
      <c r="R48" s="12" t="str">
        <f>VLOOKUP('参照用（触らない）'!$B1,メンバー!$A$3:$I$11,9,FALSE)</f>
        <v>〇</v>
      </c>
      <c r="S48" s="12"/>
      <c r="T48" s="12"/>
      <c r="U48" s="13"/>
      <c r="V48" s="11" t="str">
        <f>VLOOKUP('参照用（触らない）'!$B5,メンバー!$A$3:$I$11,3,FALSE)</f>
        <v>齋藤大輝</v>
      </c>
      <c r="W48" s="12"/>
      <c r="X48" s="12"/>
      <c r="Y48" s="13" t="str">
        <f>VLOOKUP('参照用（触らない）'!$B5,メンバー!$A$3:$I$11,9,FALSE)</f>
        <v>〇</v>
      </c>
      <c r="Z48" s="94"/>
      <c r="AA48" s="94"/>
      <c r="AB48" s="95"/>
    </row>
    <row r="49" spans="1:28">
      <c r="A49" s="12" t="str">
        <f>VLOOKUP('参照用（触らない）'!$B2,メンバー!$A$13:$I$17,2,FALSE)</f>
        <v>春田ひなの</v>
      </c>
      <c r="B49" s="12"/>
      <c r="C49" s="12"/>
      <c r="D49" s="12" t="str">
        <f>VLOOKUP('参照用（触らない）'!$B2,メンバー!$A$13:$I$17,9,FALSE)</f>
        <v>〇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VLOOKUP('参照用（触らない）'!$B2,メンバー!$A$3:$I$11,3,FALSE)</f>
        <v>北風ゆうたろう</v>
      </c>
      <c r="P49" s="12"/>
      <c r="Q49" s="12"/>
      <c r="R49" s="12" t="str">
        <f>VLOOKUP('参照用（触らない）'!$B2,メンバー!$A$3:$I$11,9,FALSE)</f>
        <v>〇</v>
      </c>
      <c r="S49" s="12"/>
      <c r="T49" s="12"/>
      <c r="U49" s="13"/>
      <c r="V49" s="11" t="str">
        <f>VLOOKUP('参照用（触らない）'!$B6,メンバー!$A$3:$I$11,3,FALSE)</f>
        <v>岡田萌</v>
      </c>
      <c r="W49" s="12"/>
      <c r="X49" s="12"/>
      <c r="Y49" s="13" t="str">
        <f>VLOOKUP('参照用（触らない）'!$B6,メンバー!$A$3:$I$11,9,FALSE)</f>
        <v>〇</v>
      </c>
      <c r="Z49" s="94"/>
      <c r="AA49" s="94"/>
      <c r="AB49" s="95"/>
    </row>
    <row r="50" spans="1:28">
      <c r="A50" s="12" t="str">
        <f>VLOOKUP('参照用（触らない）'!$B3,メンバー!$A$13:$I$17,2,FALSE)</f>
        <v>すみほのか</v>
      </c>
      <c r="B50" s="12"/>
      <c r="C50" s="12"/>
      <c r="D50" s="12" t="str">
        <f>VLOOKUP('参照用（触らない）'!$B3,メンバー!$A$13:$I$17,9,FALSE)</f>
        <v>〇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VLOOKUP('参照用（触らない）'!$B3,メンバー!$A$3:$I$11,3,FALSE)</f>
        <v>蒼樹とも</v>
      </c>
      <c r="P50" s="12"/>
      <c r="Q50" s="12"/>
      <c r="R50" s="12" t="str">
        <f>VLOOKUP('参照用（触らない）'!$B3,メンバー!$A$3:$I$11,9,FALSE)</f>
        <v>〇</v>
      </c>
      <c r="S50" s="12"/>
      <c r="T50" s="12"/>
      <c r="U50" s="13"/>
      <c r="V50" s="11" t="str">
        <f>VLOOKUP('参照用（触らない）'!$B7,メンバー!$A$3:$I$11,3,FALSE)</f>
        <v>葵</v>
      </c>
      <c r="W50" s="12"/>
      <c r="X50" s="12"/>
      <c r="Y50" s="13" t="str">
        <f>VLOOKUP('参照用（触らない）'!$B7,メンバー!$A$3:$I$11,9,FALSE)</f>
        <v>〇</v>
      </c>
      <c r="Z50" s="94"/>
      <c r="AA50" s="94"/>
      <c r="AB50" s="95"/>
    </row>
    <row r="51" spans="1:28">
      <c r="A51" s="12" t="str">
        <f>VLOOKUP('参照用（触らない）'!$B4,メンバー!$A$13:$I$17,2,FALSE)</f>
        <v>古川詠介</v>
      </c>
      <c r="B51" s="12"/>
      <c r="C51" s="12"/>
      <c r="D51" s="12" t="str">
        <f>VLOOKUP('参照用（触らない）'!$B4,メンバー!$A$13:$I$17,9,FALSE)</f>
        <v>〇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VLOOKUP('参照用（触らない）'!$B4,メンバー!$A$3:$I$11,3,FALSE)</f>
        <v>N碕</v>
      </c>
      <c r="P51" s="12"/>
      <c r="Q51" s="12"/>
      <c r="R51" s="12" t="str">
        <f>VLOOKUP('参照用（触らない）'!$B4,メンバー!$A$3:$I$11,9,FALSE)</f>
        <v>〇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33">
    <mergeCell ref="AA5:AL5"/>
    <mergeCell ref="W3:Z5"/>
    <mergeCell ref="A41:B41"/>
    <mergeCell ref="C40:AL42"/>
    <mergeCell ref="U30:Z32"/>
    <mergeCell ref="AA30:AL32"/>
    <mergeCell ref="C30:N32"/>
    <mergeCell ref="AA20:AL22"/>
    <mergeCell ref="U20:Z22"/>
    <mergeCell ref="I20:N22"/>
    <mergeCell ref="C20:H22"/>
    <mergeCell ref="O20:T22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V48:X48"/>
    <mergeCell ref="Y48:AB48"/>
    <mergeCell ref="A49:C49"/>
    <mergeCell ref="D49:G49"/>
    <mergeCell ref="H49:J49"/>
    <mergeCell ref="K49:N49"/>
    <mergeCell ref="O49:Q49"/>
    <mergeCell ref="R49:U49"/>
    <mergeCell ref="V49:X49"/>
    <mergeCell ref="Y49:AB4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G39:AL39"/>
    <mergeCell ref="A40:B40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  <mergeCell ref="I33:N33"/>
    <mergeCell ref="O33:T33"/>
    <mergeCell ref="U33:Z33"/>
    <mergeCell ref="AA33:AF33"/>
    <mergeCell ref="AG33:AL33"/>
    <mergeCell ref="AG29:AL29"/>
    <mergeCell ref="A30:B30"/>
    <mergeCell ref="O30:T32"/>
    <mergeCell ref="A31:B31"/>
    <mergeCell ref="A29:B29"/>
    <mergeCell ref="C29:H29"/>
    <mergeCell ref="I29:N29"/>
    <mergeCell ref="O29:T29"/>
    <mergeCell ref="U29:Z29"/>
    <mergeCell ref="AA29:AF29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12:B12"/>
    <mergeCell ref="U10:AL12"/>
    <mergeCell ref="O10:T12"/>
    <mergeCell ref="C10:N12"/>
    <mergeCell ref="A11:B11"/>
    <mergeCell ref="AA9:AF9"/>
    <mergeCell ref="AG9:AL9"/>
    <mergeCell ref="A10:B10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4CEE-A2BD-45A1-A793-3763514548C0}">
  <dimension ref="A1:AL51"/>
  <sheetViews>
    <sheetView view="pageBreakPreview" zoomScale="60" zoomScaleNormal="100" zoomScalePageLayoutView="85" workbookViewId="0">
      <selection activeCell="O10" sqref="O10:AL11"/>
    </sheetView>
  </sheetViews>
  <sheetFormatPr defaultColWidth="3.69921875" defaultRowHeight="18"/>
  <cols>
    <col min="1" max="2" width="3.69921875" style="1"/>
    <col min="3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19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25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21</v>
      </c>
      <c r="D2" s="12"/>
      <c r="E2" s="12"/>
      <c r="F2" s="12"/>
      <c r="G2" s="12"/>
      <c r="H2" s="12"/>
      <c r="I2" s="12"/>
      <c r="J2" s="12"/>
      <c r="L2" s="12" t="s">
        <v>30</v>
      </c>
      <c r="M2" s="12"/>
      <c r="N2" s="12"/>
      <c r="O2" s="12"/>
      <c r="P2" s="12"/>
      <c r="Q2" s="12"/>
      <c r="R2" s="12" t="s">
        <v>32</v>
      </c>
      <c r="S2" s="12"/>
      <c r="T2" s="12"/>
      <c r="U2" s="12"/>
      <c r="W2" s="15" t="s">
        <v>23</v>
      </c>
      <c r="X2" s="15"/>
      <c r="Y2" s="15"/>
      <c r="Z2" s="15"/>
      <c r="AA2" s="12" t="s">
        <v>26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 t="s">
        <v>31</v>
      </c>
      <c r="M3" s="12"/>
      <c r="N3" s="12"/>
      <c r="O3" s="12"/>
      <c r="P3" s="12"/>
      <c r="Q3" s="12"/>
      <c r="R3" s="12" t="s">
        <v>33</v>
      </c>
      <c r="S3" s="12"/>
      <c r="T3" s="12"/>
      <c r="U3" s="12"/>
      <c r="W3" s="15" t="s">
        <v>24</v>
      </c>
      <c r="X3" s="15"/>
      <c r="Y3" s="15"/>
      <c r="Z3" s="15"/>
      <c r="AA3" s="12" t="s">
        <v>27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5"/>
      <c r="X4" s="15"/>
      <c r="Y4" s="15"/>
      <c r="Z4" s="15"/>
      <c r="AA4" s="12" t="s">
        <v>28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8" spans="1:38">
      <c r="A8" s="1" t="s">
        <v>37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</v>
      </c>
      <c r="B10" s="16"/>
      <c r="C10" s="22"/>
      <c r="D10" s="22"/>
      <c r="E10" s="22"/>
      <c r="F10" s="22"/>
      <c r="G10" s="22"/>
      <c r="H10" s="23"/>
      <c r="I10" s="35"/>
      <c r="J10" s="22"/>
      <c r="K10" s="22"/>
      <c r="L10" s="22"/>
      <c r="M10" s="22"/>
      <c r="N10" s="22"/>
      <c r="O10" s="60" t="s">
        <v>42</v>
      </c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72"/>
    </row>
    <row r="11" spans="1:38" ht="35.4" customHeight="1">
      <c r="A11" s="15" t="s">
        <v>38</v>
      </c>
      <c r="B11" s="15"/>
      <c r="C11" s="58"/>
      <c r="D11" s="58"/>
      <c r="E11" s="58"/>
      <c r="F11" s="58"/>
      <c r="G11" s="58"/>
      <c r="H11" s="55"/>
      <c r="I11" s="59"/>
      <c r="J11" s="58"/>
      <c r="K11" s="58"/>
      <c r="L11" s="58"/>
      <c r="M11" s="58"/>
      <c r="N11" s="58"/>
      <c r="O11" s="23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5"/>
    </row>
    <row r="12" spans="1:38" ht="35.4" customHeight="1" thickBot="1">
      <c r="A12" s="21" t="s">
        <v>39</v>
      </c>
      <c r="B12" s="21"/>
      <c r="C12" s="38"/>
      <c r="D12" s="38"/>
      <c r="E12" s="38"/>
      <c r="F12" s="38"/>
      <c r="G12" s="38"/>
      <c r="H12" s="50"/>
      <c r="I12" s="37"/>
      <c r="J12" s="38"/>
      <c r="K12" s="38"/>
      <c r="L12" s="38"/>
      <c r="M12" s="38"/>
      <c r="N12" s="38"/>
      <c r="O12" s="50" t="s">
        <v>40</v>
      </c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2"/>
    </row>
    <row r="13" spans="1:38" ht="57" customHeight="1" thickTop="1">
      <c r="A13" s="16" t="s">
        <v>17</v>
      </c>
      <c r="B13" s="16"/>
      <c r="C13" s="42"/>
      <c r="D13" s="42"/>
      <c r="E13" s="42"/>
      <c r="F13" s="42"/>
      <c r="G13" s="42"/>
      <c r="H13" s="43"/>
      <c r="I13" s="18"/>
      <c r="J13" s="19"/>
      <c r="K13" s="19"/>
      <c r="L13" s="19"/>
      <c r="M13" s="19"/>
      <c r="N13" s="19"/>
      <c r="O13" s="76" t="s">
        <v>41</v>
      </c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8"/>
      <c r="AA13" s="19"/>
      <c r="AB13" s="19"/>
      <c r="AC13" s="19"/>
      <c r="AD13" s="19"/>
      <c r="AE13" s="19"/>
      <c r="AF13" s="3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</v>
      </c>
      <c r="B20" s="16"/>
      <c r="C20" s="60" t="s">
        <v>34</v>
      </c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72"/>
      <c r="O20" s="60" t="s">
        <v>36</v>
      </c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72"/>
    </row>
    <row r="21" spans="1:38" ht="35.4" customHeight="1">
      <c r="A21" s="15" t="s">
        <v>38</v>
      </c>
      <c r="B21" s="15"/>
      <c r="C21" s="63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79"/>
      <c r="O21" s="23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5"/>
    </row>
    <row r="22" spans="1:38" ht="35.4" customHeight="1" thickBot="1">
      <c r="A22" s="21" t="s">
        <v>39</v>
      </c>
      <c r="B22" s="21"/>
      <c r="C22" s="66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70"/>
      <c r="O22" s="50" t="s">
        <v>35</v>
      </c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2"/>
    </row>
    <row r="23" spans="1:38" ht="57" customHeight="1" thickTop="1">
      <c r="A23" s="16" t="s">
        <v>17</v>
      </c>
      <c r="B23" s="16"/>
      <c r="C23" s="42"/>
      <c r="D23" s="42"/>
      <c r="E23" s="42"/>
      <c r="F23" s="42"/>
      <c r="G23" s="42"/>
      <c r="H23" s="43"/>
      <c r="I23" s="18"/>
      <c r="J23" s="19"/>
      <c r="K23" s="19"/>
      <c r="L23" s="19"/>
      <c r="M23" s="19"/>
      <c r="N23" s="19"/>
      <c r="O23" s="76" t="s">
        <v>69</v>
      </c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8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</v>
      </c>
      <c r="B30" s="16"/>
      <c r="C30" s="60" t="s">
        <v>36</v>
      </c>
      <c r="D30" s="61"/>
      <c r="E30" s="61"/>
      <c r="F30" s="61"/>
      <c r="G30" s="61"/>
      <c r="H30" s="62"/>
      <c r="I30" s="71" t="s">
        <v>43</v>
      </c>
      <c r="J30" s="61"/>
      <c r="K30" s="61"/>
      <c r="L30" s="61"/>
      <c r="M30" s="61"/>
      <c r="N30" s="72"/>
      <c r="O30" s="60" t="s">
        <v>44</v>
      </c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72"/>
    </row>
    <row r="31" spans="1:38" ht="35.4" customHeight="1">
      <c r="A31" s="15" t="s">
        <v>38</v>
      </c>
      <c r="B31" s="15"/>
      <c r="C31" s="63"/>
      <c r="D31" s="64"/>
      <c r="E31" s="64"/>
      <c r="F31" s="64"/>
      <c r="G31" s="64"/>
      <c r="H31" s="65"/>
      <c r="I31" s="84"/>
      <c r="J31" s="64"/>
      <c r="K31" s="64"/>
      <c r="L31" s="64"/>
      <c r="M31" s="64"/>
      <c r="N31" s="79"/>
      <c r="O31" s="63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79"/>
    </row>
    <row r="32" spans="1:38" ht="35.4" customHeight="1" thickBot="1">
      <c r="A32" s="21" t="s">
        <v>39</v>
      </c>
      <c r="B32" s="21"/>
      <c r="C32" s="38" t="s">
        <v>45</v>
      </c>
      <c r="D32" s="38"/>
      <c r="E32" s="38"/>
      <c r="F32" s="38"/>
      <c r="G32" s="38"/>
      <c r="H32" s="85"/>
      <c r="I32" s="67"/>
      <c r="J32" s="67"/>
      <c r="K32" s="67"/>
      <c r="L32" s="67"/>
      <c r="M32" s="67"/>
      <c r="N32" s="70"/>
      <c r="O32" s="66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70"/>
    </row>
    <row r="33" spans="1:38" ht="57" customHeight="1" thickTop="1">
      <c r="A33" s="16" t="s">
        <v>17</v>
      </c>
      <c r="B33" s="16"/>
      <c r="C33" s="80" t="s">
        <v>70</v>
      </c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2"/>
      <c r="O33" s="54"/>
      <c r="P33" s="54"/>
      <c r="Q33" s="54"/>
      <c r="R33" s="54"/>
      <c r="S33" s="54"/>
      <c r="T33" s="56"/>
      <c r="U33" s="53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7"/>
      <c r="AG33" s="53"/>
      <c r="AH33" s="54"/>
      <c r="AI33" s="54"/>
      <c r="AJ33" s="54"/>
      <c r="AK33" s="54"/>
      <c r="AL33" s="54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</v>
      </c>
      <c r="B40" s="16"/>
      <c r="C40" s="60" t="s">
        <v>46</v>
      </c>
      <c r="D40" s="61"/>
      <c r="E40" s="61"/>
      <c r="F40" s="61"/>
      <c r="G40" s="61"/>
      <c r="H40" s="61"/>
      <c r="I40" s="71" t="s">
        <v>34</v>
      </c>
      <c r="J40" s="61"/>
      <c r="K40" s="61"/>
      <c r="L40" s="61"/>
      <c r="M40" s="61"/>
      <c r="N40" s="72"/>
      <c r="O40" s="60" t="s">
        <v>64</v>
      </c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71" t="s">
        <v>47</v>
      </c>
      <c r="AH40" s="61"/>
      <c r="AI40" s="61"/>
      <c r="AJ40" s="61"/>
      <c r="AK40" s="61"/>
      <c r="AL40" s="72"/>
    </row>
    <row r="41" spans="1:38" ht="35.4" customHeight="1">
      <c r="A41" s="15" t="s">
        <v>38</v>
      </c>
      <c r="B41" s="15"/>
      <c r="C41" s="63"/>
      <c r="D41" s="64"/>
      <c r="E41" s="64"/>
      <c r="F41" s="64"/>
      <c r="G41" s="64"/>
      <c r="H41" s="64"/>
      <c r="I41" s="84"/>
      <c r="J41" s="64"/>
      <c r="K41" s="64"/>
      <c r="L41" s="64"/>
      <c r="M41" s="64"/>
      <c r="N41" s="79"/>
      <c r="O41" s="23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83"/>
      <c r="AH41" s="74"/>
      <c r="AI41" s="74"/>
      <c r="AJ41" s="74"/>
      <c r="AK41" s="74"/>
      <c r="AL41" s="75"/>
    </row>
    <row r="42" spans="1:38" ht="35.4" customHeight="1" thickBot="1">
      <c r="A42" s="21" t="s">
        <v>39</v>
      </c>
      <c r="B42" s="21"/>
      <c r="C42" s="66"/>
      <c r="D42" s="67"/>
      <c r="E42" s="67"/>
      <c r="F42" s="67"/>
      <c r="G42" s="67"/>
      <c r="H42" s="67"/>
      <c r="I42" s="69"/>
      <c r="J42" s="67"/>
      <c r="K42" s="67"/>
      <c r="L42" s="67"/>
      <c r="M42" s="67"/>
      <c r="N42" s="70"/>
      <c r="O42" s="50" t="s">
        <v>35</v>
      </c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37" t="s">
        <v>48</v>
      </c>
      <c r="AH42" s="38"/>
      <c r="AI42" s="38"/>
      <c r="AJ42" s="38"/>
      <c r="AK42" s="38"/>
      <c r="AL42" s="38"/>
    </row>
    <row r="43" spans="1:38" ht="57" customHeight="1" thickTop="1">
      <c r="A43" s="16" t="s">
        <v>17</v>
      </c>
      <c r="B43" s="16"/>
      <c r="C43" s="80" t="s">
        <v>72</v>
      </c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2"/>
      <c r="O43" s="54"/>
      <c r="P43" s="54"/>
      <c r="Q43" s="54"/>
      <c r="R43" s="54"/>
      <c r="S43" s="54"/>
      <c r="T43" s="56"/>
      <c r="U43" s="53"/>
      <c r="V43" s="54"/>
      <c r="W43" s="54"/>
      <c r="X43" s="54"/>
      <c r="Y43" s="54"/>
      <c r="Z43" s="54"/>
      <c r="AA43" s="80" t="s">
        <v>71</v>
      </c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2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VLOOKUP('参照用（触らない）'!$B2,メンバー!$A$13:$I$17,2,FALSE)</f>
        <v>春田ひなの</v>
      </c>
      <c r="B48" s="12"/>
      <c r="C48" s="12"/>
      <c r="D48" s="12" t="str">
        <f>VLOOKUP('参照用（触らない）'!$B2,メンバー!$A$13:$I$17,4,FALSE)</f>
        <v>×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VLOOKUP('参照用（触らない）'!$B2,メンバー!$A$3:$I$11,3,FALSE)</f>
        <v>北風ゆうたろう</v>
      </c>
      <c r="P48" s="12"/>
      <c r="Q48" s="12"/>
      <c r="R48" s="12" t="str">
        <f>VLOOKUP('参照用（触らない）'!$B2,メンバー!$A$3:$I$11,4,FALSE)</f>
        <v>×</v>
      </c>
      <c r="S48" s="12"/>
      <c r="T48" s="12"/>
      <c r="U48" s="13"/>
      <c r="V48" s="11" t="str">
        <f>VLOOKUP('参照用（触らない）'!$B6,メンバー!$A$3:$I$11,3,FALSE)</f>
        <v>岡田萌</v>
      </c>
      <c r="W48" s="12"/>
      <c r="X48" s="12"/>
      <c r="Y48" s="13" t="str">
        <f>VLOOKUP('参照用（触らない）'!$B6,メンバー!$A$3:$I$11,4,FALSE)</f>
        <v>×</v>
      </c>
      <c r="Z48" s="94"/>
      <c r="AA48" s="94"/>
      <c r="AB48" s="95"/>
    </row>
    <row r="49" spans="1:28">
      <c r="A49" s="12" t="str">
        <f>VLOOKUP('参照用（触らない）'!$B3,メンバー!$A$13:$I$17,2,FALSE)</f>
        <v>すみほのか</v>
      </c>
      <c r="B49" s="12"/>
      <c r="C49" s="12"/>
      <c r="D49" s="12" t="str">
        <f>VLOOKUP('参照用（触らない）'!$B3,メンバー!$A$13:$I$17,4,FALSE)</f>
        <v>18:30～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VLOOKUP('参照用（触らない）'!$B3,メンバー!$A$3:$I$11,3,FALSE)</f>
        <v>蒼樹とも</v>
      </c>
      <c r="P49" s="12"/>
      <c r="Q49" s="12"/>
      <c r="R49" s="12" t="str">
        <f>VLOOKUP('参照用（触らない）'!$B3,メンバー!$A$3:$I$11,4,FALSE)</f>
        <v>〇</v>
      </c>
      <c r="S49" s="12"/>
      <c r="T49" s="12"/>
      <c r="U49" s="13"/>
      <c r="V49" s="11" t="str">
        <f>VLOOKUP('参照用（触らない）'!$B7,メンバー!$A$3:$I$11,3,FALSE)</f>
        <v>葵</v>
      </c>
      <c r="W49" s="12"/>
      <c r="X49" s="12"/>
      <c r="Y49" s="13" t="str">
        <f>VLOOKUP('参照用（触らない）'!$B7,メンバー!$A$3:$I$11,4,FALSE)</f>
        <v>19:30～※</v>
      </c>
      <c r="Z49" s="94"/>
      <c r="AA49" s="94"/>
      <c r="AB49" s="95"/>
    </row>
    <row r="50" spans="1:28">
      <c r="A50" s="12" t="str">
        <f>VLOOKUP('参照用（触らない）'!$B4,メンバー!$A$13:$I$17,2,FALSE)</f>
        <v>古川詠介</v>
      </c>
      <c r="B50" s="12"/>
      <c r="C50" s="12"/>
      <c r="D50" s="12" t="str">
        <f>VLOOKUP('参照用（触らない）'!$B4,メンバー!$A$13:$I$17,4,FALSE)</f>
        <v>×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VLOOKUP('参照用（触らない）'!$B4,メンバー!$A$3:$I$11,3,FALSE)</f>
        <v>N碕</v>
      </c>
      <c r="P50" s="12"/>
      <c r="Q50" s="12"/>
      <c r="R50" s="12" t="str">
        <f>VLOOKUP('参照用（触らない）'!$B4,メンバー!$A$3:$I$11,4,FALSE)</f>
        <v>19～※</v>
      </c>
      <c r="S50" s="12"/>
      <c r="T50" s="12"/>
      <c r="U50" s="13"/>
      <c r="V50" s="11" t="e">
        <f>VLOOKUP('参照用（触らない）'!$B8,メンバー!$A$3:$I$11,3,FALSE)</f>
        <v>#N/A</v>
      </c>
      <c r="W50" s="12"/>
      <c r="X50" s="12"/>
      <c r="Y50" s="13" t="e">
        <f>VLOOKUP('参照用（触らない）'!$B8,メンバー!$A$3:$I$11,4,FALSE)</f>
        <v>#N/A</v>
      </c>
      <c r="Z50" s="94"/>
      <c r="AA50" s="94"/>
      <c r="AB50" s="95"/>
    </row>
    <row r="51" spans="1:28">
      <c r="A51" s="12" t="e">
        <f>VLOOKUP('参照用（触らない）'!$B5,メンバー!$A$13:$I$17,2,FALSE)</f>
        <v>#N/A</v>
      </c>
      <c r="B51" s="12"/>
      <c r="C51" s="12"/>
      <c r="D51" s="12" t="e">
        <f>VLOOKUP('参照用（触らない）'!$B5,メンバー!$A$13:$I$17,4,FALSE)</f>
        <v>#N/A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VLOOKUP('参照用（触らない）'!$B5,メンバー!$A$3:$I$11,3,FALSE)</f>
        <v>齋藤大輝</v>
      </c>
      <c r="P51" s="12"/>
      <c r="Q51" s="12"/>
      <c r="R51" s="12" t="str">
        <f>VLOOKUP('参照用（触らない）'!$B5,メンバー!$A$3:$I$11,4,FALSE)</f>
        <v>10～17:45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35">
    <mergeCell ref="A43:B43"/>
    <mergeCell ref="A47:N47"/>
    <mergeCell ref="O47:AB47"/>
    <mergeCell ref="C30:H31"/>
    <mergeCell ref="I40:N42"/>
    <mergeCell ref="C40:H42"/>
    <mergeCell ref="C32:H32"/>
    <mergeCell ref="I30:N32"/>
    <mergeCell ref="A41:B41"/>
    <mergeCell ref="AG39:AL39"/>
    <mergeCell ref="A40:B40"/>
    <mergeCell ref="A42:B42"/>
    <mergeCell ref="O43:T43"/>
    <mergeCell ref="U43:Z43"/>
    <mergeCell ref="A39:B39"/>
    <mergeCell ref="C39:H39"/>
    <mergeCell ref="I39:N39"/>
    <mergeCell ref="O39:T39"/>
    <mergeCell ref="U39:Z39"/>
    <mergeCell ref="AA39:AF39"/>
    <mergeCell ref="A31:B31"/>
    <mergeCell ref="O30:AL32"/>
    <mergeCell ref="A32:B32"/>
    <mergeCell ref="A33:B33"/>
    <mergeCell ref="O33:T33"/>
    <mergeCell ref="U33:Z33"/>
    <mergeCell ref="AA33:AF33"/>
    <mergeCell ref="AG33:AL33"/>
    <mergeCell ref="A30:B30"/>
    <mergeCell ref="AA43:AL43"/>
    <mergeCell ref="C43:N43"/>
    <mergeCell ref="O40:AF41"/>
    <mergeCell ref="AG40:AL41"/>
    <mergeCell ref="O42:AF42"/>
    <mergeCell ref="AG42:AL42"/>
    <mergeCell ref="C33:N33"/>
    <mergeCell ref="A29:B29"/>
    <mergeCell ref="C29:H29"/>
    <mergeCell ref="I29:N29"/>
    <mergeCell ref="O29:T29"/>
    <mergeCell ref="U29:Z29"/>
    <mergeCell ref="AA29:AF29"/>
    <mergeCell ref="A22:B22"/>
    <mergeCell ref="O22:AL22"/>
    <mergeCell ref="A23:B23"/>
    <mergeCell ref="C23:H23"/>
    <mergeCell ref="I23:N23"/>
    <mergeCell ref="AA23:AF23"/>
    <mergeCell ref="AG23:AL23"/>
    <mergeCell ref="O23:Z23"/>
    <mergeCell ref="C20:N22"/>
    <mergeCell ref="A20:B20"/>
    <mergeCell ref="A21:B21"/>
    <mergeCell ref="O20:AL21"/>
    <mergeCell ref="AG29:AL29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AA13:AF13"/>
    <mergeCell ref="O13:Z13"/>
    <mergeCell ref="A12:B12"/>
    <mergeCell ref="C12:H12"/>
    <mergeCell ref="I12:N12"/>
    <mergeCell ref="A11:B11"/>
    <mergeCell ref="C11:H11"/>
    <mergeCell ref="I11:N11"/>
    <mergeCell ref="O10:AL11"/>
    <mergeCell ref="AA9:AF9"/>
    <mergeCell ref="AG9:AL9"/>
    <mergeCell ref="A10:B10"/>
    <mergeCell ref="C10:H10"/>
    <mergeCell ref="I10:N10"/>
    <mergeCell ref="O12:AL12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W3:Z4"/>
    <mergeCell ref="AA3:AL3"/>
    <mergeCell ref="AA4:AL4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A48:C48"/>
    <mergeCell ref="D48:G48"/>
    <mergeCell ref="H48:J48"/>
    <mergeCell ref="K48:N48"/>
    <mergeCell ref="O48:Q48"/>
    <mergeCell ref="R48:U48"/>
    <mergeCell ref="V48:X48"/>
    <mergeCell ref="Y48:AB48"/>
    <mergeCell ref="D49:G49"/>
    <mergeCell ref="H49:J49"/>
    <mergeCell ref="K49:N49"/>
    <mergeCell ref="O49:Q49"/>
    <mergeCell ref="R49:U49"/>
    <mergeCell ref="V49:X49"/>
    <mergeCell ref="Y49:AB49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V50:X50"/>
    <mergeCell ref="Y50:AB50"/>
    <mergeCell ref="A49:C49"/>
  </mergeCells>
  <phoneticPr fontId="2"/>
  <pageMargins left="0.7" right="0.7" top="0.75" bottom="0.75" header="0.3" footer="0.3"/>
  <pageSetup paperSize="9" scale="54" orientation="portrait" horizontalDpi="4294967293" r:id="rId1"/>
  <ignoredErrors>
    <ignoredError sqref="O9 AA9 AA19 O19 O29 AA29 O39 AA39 U9 U19 U29 U39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DF894-9FE6-4735-BC8B-8AD7E2401F83}">
  <dimension ref="A1:AL51"/>
  <sheetViews>
    <sheetView view="pageBreakPreview" topLeftCell="A28" zoomScale="60" zoomScaleNormal="100" zoomScalePageLayoutView="75" workbookViewId="0">
      <selection activeCell="O40" sqref="O40:T42"/>
    </sheetView>
  </sheetViews>
  <sheetFormatPr defaultColWidth="3.69921875" defaultRowHeight="18"/>
  <cols>
    <col min="1" max="2" width="3.69921875" style="1"/>
    <col min="3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19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25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21</v>
      </c>
      <c r="D2" s="12"/>
      <c r="E2" s="12"/>
      <c r="F2" s="12"/>
      <c r="G2" s="12"/>
      <c r="H2" s="12"/>
      <c r="I2" s="12"/>
      <c r="J2" s="12"/>
      <c r="L2" s="12" t="s">
        <v>30</v>
      </c>
      <c r="M2" s="12"/>
      <c r="N2" s="12"/>
      <c r="O2" s="12"/>
      <c r="P2" s="12"/>
      <c r="Q2" s="12"/>
      <c r="R2" s="12" t="s">
        <v>32</v>
      </c>
      <c r="S2" s="12"/>
      <c r="T2" s="12"/>
      <c r="U2" s="12"/>
      <c r="W2" s="15" t="s">
        <v>23</v>
      </c>
      <c r="X2" s="15"/>
      <c r="Y2" s="15"/>
      <c r="Z2" s="15"/>
      <c r="AA2" s="12" t="s">
        <v>26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 t="s">
        <v>31</v>
      </c>
      <c r="M3" s="12"/>
      <c r="N3" s="12"/>
      <c r="O3" s="12"/>
      <c r="P3" s="12"/>
      <c r="Q3" s="12"/>
      <c r="R3" s="12" t="s">
        <v>33</v>
      </c>
      <c r="S3" s="12"/>
      <c r="T3" s="12"/>
      <c r="U3" s="12"/>
      <c r="W3" s="15" t="s">
        <v>24</v>
      </c>
      <c r="X3" s="15"/>
      <c r="Y3" s="15"/>
      <c r="Z3" s="15"/>
      <c r="AA3" s="12" t="s">
        <v>27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5"/>
      <c r="X4" s="15"/>
      <c r="Y4" s="15"/>
      <c r="Z4" s="15"/>
      <c r="AA4" s="12" t="s">
        <v>28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8" spans="1:38">
      <c r="A8" s="1" t="s">
        <v>49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87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</v>
      </c>
      <c r="B10" s="16"/>
      <c r="C10" s="60" t="s">
        <v>50</v>
      </c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71" t="s">
        <v>53</v>
      </c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2"/>
      <c r="AG10" s="61" t="s">
        <v>54</v>
      </c>
      <c r="AH10" s="61"/>
      <c r="AI10" s="61"/>
      <c r="AJ10" s="61"/>
      <c r="AK10" s="61"/>
      <c r="AL10" s="72"/>
    </row>
    <row r="11" spans="1:38" ht="35.4" customHeight="1">
      <c r="A11" s="15" t="s">
        <v>38</v>
      </c>
      <c r="B11" s="15"/>
      <c r="C11" s="23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8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5"/>
      <c r="AG11" s="64"/>
      <c r="AH11" s="64"/>
      <c r="AI11" s="64"/>
      <c r="AJ11" s="64"/>
      <c r="AK11" s="64"/>
      <c r="AL11" s="79"/>
    </row>
    <row r="12" spans="1:38" ht="35.4" customHeight="1" thickBot="1">
      <c r="A12" s="21" t="s">
        <v>39</v>
      </c>
      <c r="B12" s="21"/>
      <c r="C12" s="50" t="s">
        <v>51</v>
      </c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69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8"/>
      <c r="AG12" s="67"/>
      <c r="AH12" s="67"/>
      <c r="AI12" s="67"/>
      <c r="AJ12" s="67"/>
      <c r="AK12" s="67"/>
      <c r="AL12" s="70"/>
    </row>
    <row r="13" spans="1:38" ht="57" customHeight="1" thickTop="1">
      <c r="A13" s="16" t="s">
        <v>17</v>
      </c>
      <c r="B13" s="16"/>
      <c r="C13" s="88" t="s">
        <v>73</v>
      </c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90"/>
      <c r="O13" s="19"/>
      <c r="P13" s="19"/>
      <c r="Q13" s="19"/>
      <c r="R13" s="19"/>
      <c r="S13" s="19"/>
      <c r="T13" s="33"/>
      <c r="U13" s="18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3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</v>
      </c>
      <c r="B20" s="16"/>
      <c r="C20" s="60" t="s">
        <v>52</v>
      </c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72"/>
      <c r="AA20" s="60" t="s">
        <v>46</v>
      </c>
      <c r="AB20" s="61"/>
      <c r="AC20" s="61"/>
      <c r="AD20" s="61"/>
      <c r="AE20" s="61"/>
      <c r="AF20" s="61"/>
      <c r="AG20" s="71" t="s">
        <v>55</v>
      </c>
      <c r="AH20" s="61"/>
      <c r="AI20" s="61"/>
      <c r="AJ20" s="61"/>
      <c r="AK20" s="61"/>
      <c r="AL20" s="72"/>
    </row>
    <row r="21" spans="1:38" ht="35.4" customHeight="1">
      <c r="A21" s="15" t="s">
        <v>38</v>
      </c>
      <c r="B21" s="15"/>
      <c r="C21" s="63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79"/>
      <c r="AA21" s="63"/>
      <c r="AB21" s="64"/>
      <c r="AC21" s="64"/>
      <c r="AD21" s="64"/>
      <c r="AE21" s="64"/>
      <c r="AF21" s="64"/>
      <c r="AG21" s="84"/>
      <c r="AH21" s="64"/>
      <c r="AI21" s="64"/>
      <c r="AJ21" s="64"/>
      <c r="AK21" s="64"/>
      <c r="AL21" s="79"/>
    </row>
    <row r="22" spans="1:38" ht="35.4" customHeight="1" thickBot="1">
      <c r="A22" s="21" t="s">
        <v>39</v>
      </c>
      <c r="B22" s="21"/>
      <c r="C22" s="66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70"/>
      <c r="AA22" s="66"/>
      <c r="AB22" s="67"/>
      <c r="AC22" s="67"/>
      <c r="AD22" s="67"/>
      <c r="AE22" s="67"/>
      <c r="AF22" s="67"/>
      <c r="AG22" s="69"/>
      <c r="AH22" s="67"/>
      <c r="AI22" s="67"/>
      <c r="AJ22" s="67"/>
      <c r="AK22" s="67"/>
      <c r="AL22" s="70"/>
    </row>
    <row r="23" spans="1:38" ht="57" customHeight="1" thickTop="1">
      <c r="A23" s="16" t="s">
        <v>17</v>
      </c>
      <c r="B23" s="16"/>
      <c r="C23" s="19"/>
      <c r="D23" s="19"/>
      <c r="E23" s="19"/>
      <c r="F23" s="19"/>
      <c r="G23" s="19"/>
      <c r="H23" s="33"/>
      <c r="I23" s="18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33"/>
      <c r="U23" s="18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</v>
      </c>
      <c r="B30" s="16"/>
      <c r="C30" s="60" t="s">
        <v>76</v>
      </c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2"/>
      <c r="U30" s="71" t="s">
        <v>60</v>
      </c>
      <c r="V30" s="61"/>
      <c r="W30" s="61"/>
      <c r="X30" s="61"/>
      <c r="Y30" s="61"/>
      <c r="Z30" s="72"/>
      <c r="AA30" s="61" t="s">
        <v>56</v>
      </c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72"/>
    </row>
    <row r="31" spans="1:38" ht="35.4" customHeight="1">
      <c r="A31" s="15" t="s">
        <v>38</v>
      </c>
      <c r="B31" s="15"/>
      <c r="C31" s="63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5"/>
      <c r="U31" s="84"/>
      <c r="V31" s="64"/>
      <c r="W31" s="64"/>
      <c r="X31" s="64"/>
      <c r="Y31" s="64"/>
      <c r="Z31" s="79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79"/>
    </row>
    <row r="32" spans="1:38" ht="35.4" customHeight="1" thickBot="1">
      <c r="A32" s="21" t="s">
        <v>39</v>
      </c>
      <c r="B32" s="21"/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8"/>
      <c r="U32" s="69"/>
      <c r="V32" s="67"/>
      <c r="W32" s="67"/>
      <c r="X32" s="67"/>
      <c r="Y32" s="67"/>
      <c r="Z32" s="70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70"/>
    </row>
    <row r="33" spans="1:38" ht="57" customHeight="1" thickTop="1">
      <c r="A33" s="16" t="s">
        <v>17</v>
      </c>
      <c r="B33" s="16"/>
      <c r="C33" s="19"/>
      <c r="D33" s="19"/>
      <c r="E33" s="19"/>
      <c r="F33" s="19"/>
      <c r="G33" s="19"/>
      <c r="H33" s="33"/>
      <c r="I33" s="18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33"/>
      <c r="U33" s="18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33"/>
      <c r="AG33" s="18"/>
      <c r="AH33" s="19"/>
      <c r="AI33" s="19"/>
      <c r="AJ33" s="19"/>
      <c r="AK33" s="19"/>
      <c r="AL33" s="19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</v>
      </c>
      <c r="B40" s="16"/>
      <c r="C40" s="61" t="s">
        <v>56</v>
      </c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72"/>
      <c r="O40" s="61" t="s">
        <v>46</v>
      </c>
      <c r="P40" s="61"/>
      <c r="Q40" s="61"/>
      <c r="R40" s="61"/>
      <c r="S40" s="61"/>
      <c r="T40" s="61"/>
      <c r="U40" s="61" t="s">
        <v>61</v>
      </c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2"/>
      <c r="AG40" s="71" t="s">
        <v>57</v>
      </c>
      <c r="AH40" s="61"/>
      <c r="AI40" s="61"/>
      <c r="AJ40" s="61"/>
      <c r="AK40" s="61"/>
      <c r="AL40" s="72"/>
    </row>
    <row r="41" spans="1:38" ht="35.4" customHeight="1">
      <c r="A41" s="15" t="s">
        <v>38</v>
      </c>
      <c r="B41" s="15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79"/>
      <c r="O41" s="64"/>
      <c r="P41" s="64"/>
      <c r="Q41" s="64"/>
      <c r="R41" s="64"/>
      <c r="S41" s="64"/>
      <c r="T41" s="6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91"/>
      <c r="AG41" s="84"/>
      <c r="AH41" s="64"/>
      <c r="AI41" s="64"/>
      <c r="AJ41" s="64"/>
      <c r="AK41" s="64"/>
      <c r="AL41" s="79"/>
    </row>
    <row r="42" spans="1:38" ht="35.4" customHeight="1" thickBot="1">
      <c r="A42" s="21" t="s">
        <v>39</v>
      </c>
      <c r="B42" s="21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70"/>
      <c r="O42" s="67"/>
      <c r="P42" s="67"/>
      <c r="Q42" s="67"/>
      <c r="R42" s="67"/>
      <c r="S42" s="67"/>
      <c r="T42" s="67"/>
      <c r="U42" s="51" t="s">
        <v>62</v>
      </c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86"/>
      <c r="AG42" s="69"/>
      <c r="AH42" s="67"/>
      <c r="AI42" s="67"/>
      <c r="AJ42" s="67"/>
      <c r="AK42" s="67"/>
      <c r="AL42" s="70"/>
    </row>
    <row r="43" spans="1:38" ht="57" customHeight="1" thickTop="1">
      <c r="A43" s="16" t="s">
        <v>17</v>
      </c>
      <c r="B43" s="16"/>
      <c r="C43" s="19"/>
      <c r="D43" s="19"/>
      <c r="E43" s="19"/>
      <c r="F43" s="19"/>
      <c r="G43" s="19"/>
      <c r="H43" s="33"/>
      <c r="I43" s="18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33"/>
      <c r="U43" s="18"/>
      <c r="V43" s="19"/>
      <c r="W43" s="19"/>
      <c r="X43" s="19"/>
      <c r="Y43" s="19"/>
      <c r="Z43" s="19"/>
      <c r="AA43" s="76" t="s">
        <v>70</v>
      </c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8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VLOOKUP('参照用（触らない）'!$B2,メンバー!$A$13:$I$17,2,FALSE)</f>
        <v>春田ひなの</v>
      </c>
      <c r="B48" s="12"/>
      <c r="C48" s="12"/>
      <c r="D48" s="12" t="str">
        <f>VLOOKUP('参照用（触らない）'!$B2,メンバー!$A$13:$I$17,4,FALSE)</f>
        <v>×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VLOOKUP('参照用（触らない）'!$B2,メンバー!$A$3:$I$11,3,FALSE)</f>
        <v>北風ゆうたろう</v>
      </c>
      <c r="P48" s="12"/>
      <c r="Q48" s="12"/>
      <c r="R48" s="12" t="str">
        <f>VLOOKUP('参照用（触らない）'!$B2,メンバー!$A$3:$I$11,4,FALSE)</f>
        <v>×</v>
      </c>
      <c r="S48" s="12"/>
      <c r="T48" s="12"/>
      <c r="U48" s="13"/>
      <c r="V48" s="11" t="str">
        <f>VLOOKUP('参照用（触らない）'!$B6,メンバー!$A$3:$I$11,3,FALSE)</f>
        <v>岡田萌</v>
      </c>
      <c r="W48" s="12"/>
      <c r="X48" s="12"/>
      <c r="Y48" s="13" t="str">
        <f>VLOOKUP('参照用（触らない）'!$B6,メンバー!$A$3:$I$11,4,FALSE)</f>
        <v>×</v>
      </c>
      <c r="Z48" s="94"/>
      <c r="AA48" s="94"/>
      <c r="AB48" s="95"/>
    </row>
    <row r="49" spans="1:28">
      <c r="A49" s="12" t="str">
        <f>VLOOKUP('参照用（触らない）'!$B3,メンバー!$A$13:$I$17,2,FALSE)</f>
        <v>すみほのか</v>
      </c>
      <c r="B49" s="12"/>
      <c r="C49" s="12"/>
      <c r="D49" s="12" t="str">
        <f>VLOOKUP('参照用（触らない）'!$B3,メンバー!$A$13:$I$17,4,FALSE)</f>
        <v>18:30～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VLOOKUP('参照用（触らない）'!$B3,メンバー!$A$3:$I$11,3,FALSE)</f>
        <v>蒼樹とも</v>
      </c>
      <c r="P49" s="12"/>
      <c r="Q49" s="12"/>
      <c r="R49" s="12" t="str">
        <f>VLOOKUP('参照用（触らない）'!$B3,メンバー!$A$3:$I$11,4,FALSE)</f>
        <v>〇</v>
      </c>
      <c r="S49" s="12"/>
      <c r="T49" s="12"/>
      <c r="U49" s="13"/>
      <c r="V49" s="11" t="str">
        <f>VLOOKUP('参照用（触らない）'!$B7,メンバー!$A$3:$I$11,3,FALSE)</f>
        <v>葵</v>
      </c>
      <c r="W49" s="12"/>
      <c r="X49" s="12"/>
      <c r="Y49" s="13" t="str">
        <f>VLOOKUP('参照用（触らない）'!$B7,メンバー!$A$3:$I$11,4,FALSE)</f>
        <v>19:30～※</v>
      </c>
      <c r="Z49" s="94"/>
      <c r="AA49" s="94"/>
      <c r="AB49" s="95"/>
    </row>
    <row r="50" spans="1:28">
      <c r="A50" s="12" t="str">
        <f>VLOOKUP('参照用（触らない）'!$B4,メンバー!$A$13:$I$17,2,FALSE)</f>
        <v>古川詠介</v>
      </c>
      <c r="B50" s="12"/>
      <c r="C50" s="12"/>
      <c r="D50" s="12" t="str">
        <f>VLOOKUP('参照用（触らない）'!$B4,メンバー!$A$13:$I$17,4,FALSE)</f>
        <v>×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VLOOKUP('参照用（触らない）'!$B4,メンバー!$A$3:$I$11,3,FALSE)</f>
        <v>N碕</v>
      </c>
      <c r="P50" s="12"/>
      <c r="Q50" s="12"/>
      <c r="R50" s="12" t="str">
        <f>VLOOKUP('参照用（触らない）'!$B4,メンバー!$A$3:$I$11,4,FALSE)</f>
        <v>19～※</v>
      </c>
      <c r="S50" s="12"/>
      <c r="T50" s="12"/>
      <c r="U50" s="13"/>
      <c r="V50" s="11" t="e">
        <f>VLOOKUP('参照用（触らない）'!$B8,メンバー!$A$3:$I$11,3,FALSE)</f>
        <v>#N/A</v>
      </c>
      <c r="W50" s="12"/>
      <c r="X50" s="12"/>
      <c r="Y50" s="13" t="e">
        <f>VLOOKUP('参照用（触らない）'!$B8,メンバー!$A$3:$I$11,4,FALSE)</f>
        <v>#N/A</v>
      </c>
      <c r="Z50" s="94"/>
      <c r="AA50" s="94"/>
      <c r="AB50" s="95"/>
    </row>
    <row r="51" spans="1:28">
      <c r="A51" s="12" t="e">
        <f>VLOOKUP('参照用（触らない）'!$B5,メンバー!$A$13:$I$17,2,FALSE)</f>
        <v>#N/A</v>
      </c>
      <c r="B51" s="12"/>
      <c r="C51" s="12"/>
      <c r="D51" s="12" t="e">
        <f>VLOOKUP('参照用（触らない）'!$B5,メンバー!$A$13:$I$17,4,FALSE)</f>
        <v>#N/A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VLOOKUP('参照用（触らない）'!$B5,メンバー!$A$3:$I$11,3,FALSE)</f>
        <v>齋藤大輝</v>
      </c>
      <c r="P51" s="12"/>
      <c r="Q51" s="12"/>
      <c r="R51" s="12" t="str">
        <f>VLOOKUP('参照用（触らない）'!$B5,メンバー!$A$3:$I$11,4,FALSE)</f>
        <v>10～17:45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32">
    <mergeCell ref="AG20:AL22"/>
    <mergeCell ref="O23:T23"/>
    <mergeCell ref="U23:Z23"/>
    <mergeCell ref="AG29:AL29"/>
    <mergeCell ref="AA29:AF29"/>
    <mergeCell ref="AG40:AL42"/>
    <mergeCell ref="C33:H33"/>
    <mergeCell ref="O40:T42"/>
    <mergeCell ref="C40:N42"/>
    <mergeCell ref="U40:AF41"/>
    <mergeCell ref="A33:B33"/>
    <mergeCell ref="O33:T33"/>
    <mergeCell ref="U33:Z33"/>
    <mergeCell ref="AA33:AF33"/>
    <mergeCell ref="AG33:AL33"/>
    <mergeCell ref="I33:N33"/>
    <mergeCell ref="A43:B43"/>
    <mergeCell ref="O43:T43"/>
    <mergeCell ref="U43:Z43"/>
    <mergeCell ref="AA43:AL43"/>
    <mergeCell ref="AG39:AL39"/>
    <mergeCell ref="A40:B40"/>
    <mergeCell ref="A41:B41"/>
    <mergeCell ref="A42:B42"/>
    <mergeCell ref="A39:B39"/>
    <mergeCell ref="C39:H39"/>
    <mergeCell ref="I39:N39"/>
    <mergeCell ref="O39:T39"/>
    <mergeCell ref="U39:Z39"/>
    <mergeCell ref="AA39:AF39"/>
    <mergeCell ref="C43:H43"/>
    <mergeCell ref="I43:N43"/>
    <mergeCell ref="AG23:AL23"/>
    <mergeCell ref="A29:B29"/>
    <mergeCell ref="C29:H29"/>
    <mergeCell ref="I29:N29"/>
    <mergeCell ref="O29:T29"/>
    <mergeCell ref="U29:Z29"/>
    <mergeCell ref="A30:B30"/>
    <mergeCell ref="A31:B31"/>
    <mergeCell ref="A32:B32"/>
    <mergeCell ref="U30:Z32"/>
    <mergeCell ref="C30:T32"/>
    <mergeCell ref="AA30:AL32"/>
    <mergeCell ref="A20:B20"/>
    <mergeCell ref="A21:B21"/>
    <mergeCell ref="A22:B22"/>
    <mergeCell ref="A19:B19"/>
    <mergeCell ref="C19:H19"/>
    <mergeCell ref="A23:B23"/>
    <mergeCell ref="C23:H23"/>
    <mergeCell ref="I23:N23"/>
    <mergeCell ref="AA23:AF23"/>
    <mergeCell ref="C20:Z22"/>
    <mergeCell ref="AA20:AF22"/>
    <mergeCell ref="AG13:AL13"/>
    <mergeCell ref="AG10:AL12"/>
    <mergeCell ref="C13:N13"/>
    <mergeCell ref="O13:T13"/>
    <mergeCell ref="U13:Z13"/>
    <mergeCell ref="C10:T11"/>
    <mergeCell ref="C12:T12"/>
    <mergeCell ref="U10:AF12"/>
    <mergeCell ref="AG19:AL19"/>
    <mergeCell ref="I19:N19"/>
    <mergeCell ref="O19:T19"/>
    <mergeCell ref="U19:Z19"/>
    <mergeCell ref="A10:B10"/>
    <mergeCell ref="A11:B11"/>
    <mergeCell ref="D8:F8"/>
    <mergeCell ref="A9:B9"/>
    <mergeCell ref="C9:H9"/>
    <mergeCell ref="I9:N9"/>
    <mergeCell ref="O9:T9"/>
    <mergeCell ref="U9:Z9"/>
    <mergeCell ref="AA19:AF19"/>
    <mergeCell ref="A12:B12"/>
    <mergeCell ref="A13:B13"/>
    <mergeCell ref="AA13:AF13"/>
    <mergeCell ref="AA1:AL1"/>
    <mergeCell ref="AA2:AL2"/>
    <mergeCell ref="L3:Q3"/>
    <mergeCell ref="R3:U3"/>
    <mergeCell ref="W3:Z4"/>
    <mergeCell ref="AA3:AL3"/>
    <mergeCell ref="AA4:AL4"/>
    <mergeCell ref="AA9:AF9"/>
    <mergeCell ref="AG9:AL9"/>
    <mergeCell ref="A2:B2"/>
    <mergeCell ref="C2:J2"/>
    <mergeCell ref="L2:Q2"/>
    <mergeCell ref="R2:U2"/>
    <mergeCell ref="W2:Z2"/>
    <mergeCell ref="A1:B1"/>
    <mergeCell ref="C1:J1"/>
    <mergeCell ref="L1:U1"/>
    <mergeCell ref="W1:Z1"/>
    <mergeCell ref="U42:AF42"/>
    <mergeCell ref="A48:C48"/>
    <mergeCell ref="D48:G48"/>
    <mergeCell ref="H48:J48"/>
    <mergeCell ref="K48:N48"/>
    <mergeCell ref="O48:Q48"/>
    <mergeCell ref="R48:U48"/>
    <mergeCell ref="V48:X48"/>
    <mergeCell ref="Y48:AB48"/>
    <mergeCell ref="A47:N47"/>
    <mergeCell ref="O47:AB47"/>
    <mergeCell ref="R49:U49"/>
    <mergeCell ref="V49:X49"/>
    <mergeCell ref="Y49:AB49"/>
    <mergeCell ref="A49:C49"/>
    <mergeCell ref="D49:G49"/>
    <mergeCell ref="H49:J49"/>
    <mergeCell ref="K49:N49"/>
    <mergeCell ref="O49:Q49"/>
    <mergeCell ref="R50:U50"/>
    <mergeCell ref="V50:X50"/>
    <mergeCell ref="Y50:AB50"/>
    <mergeCell ref="A50:C50"/>
    <mergeCell ref="D50:G50"/>
    <mergeCell ref="H50:J50"/>
    <mergeCell ref="K50:N50"/>
    <mergeCell ref="O50:Q50"/>
    <mergeCell ref="R51:U51"/>
    <mergeCell ref="V51:X51"/>
    <mergeCell ref="Y51:AB51"/>
    <mergeCell ref="A51:C51"/>
    <mergeCell ref="D51:G51"/>
    <mergeCell ref="H51:J51"/>
    <mergeCell ref="K51:N51"/>
    <mergeCell ref="O51:Q51"/>
  </mergeCells>
  <phoneticPr fontId="2"/>
  <pageMargins left="0.7" right="0.7" top="0.75" bottom="0.75" header="0.3" footer="0.3"/>
  <pageSetup paperSize="9" scale="54" orientation="portrait" horizont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EF72E-81E9-45AC-BE45-DBA5D3705812}">
  <dimension ref="A1:AL51"/>
  <sheetViews>
    <sheetView view="pageBreakPreview" zoomScale="75" zoomScaleNormal="100" zoomScaleSheetLayoutView="75" zoomScalePageLayoutView="75" workbookViewId="0">
      <selection activeCell="U10" sqref="U10:AF12"/>
    </sheetView>
  </sheetViews>
  <sheetFormatPr defaultColWidth="3.69921875" defaultRowHeight="18"/>
  <cols>
    <col min="1" max="2" width="3.69921875" style="1"/>
    <col min="3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15" t="s">
        <v>18</v>
      </c>
      <c r="B1" s="15"/>
      <c r="C1" s="12" t="s">
        <v>19</v>
      </c>
      <c r="D1" s="12"/>
      <c r="E1" s="12"/>
      <c r="F1" s="12"/>
      <c r="G1" s="12"/>
      <c r="H1" s="12"/>
      <c r="I1" s="12"/>
      <c r="J1" s="12"/>
      <c r="L1" s="15" t="s">
        <v>29</v>
      </c>
      <c r="M1" s="15"/>
      <c r="N1" s="15"/>
      <c r="O1" s="15"/>
      <c r="P1" s="15"/>
      <c r="Q1" s="15"/>
      <c r="R1" s="15"/>
      <c r="S1" s="15"/>
      <c r="T1" s="15"/>
      <c r="U1" s="15"/>
      <c r="W1" s="15" t="s">
        <v>22</v>
      </c>
      <c r="X1" s="15"/>
      <c r="Y1" s="15"/>
      <c r="Z1" s="15"/>
      <c r="AA1" s="12" t="s">
        <v>25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spans="1:38">
      <c r="A2" s="15" t="s">
        <v>20</v>
      </c>
      <c r="B2" s="15"/>
      <c r="C2" s="12" t="s">
        <v>21</v>
      </c>
      <c r="D2" s="12"/>
      <c r="E2" s="12"/>
      <c r="F2" s="12"/>
      <c r="G2" s="12"/>
      <c r="H2" s="12"/>
      <c r="I2" s="12"/>
      <c r="J2" s="12"/>
      <c r="L2" s="12" t="s">
        <v>30</v>
      </c>
      <c r="M2" s="12"/>
      <c r="N2" s="12"/>
      <c r="O2" s="12"/>
      <c r="P2" s="12"/>
      <c r="Q2" s="12"/>
      <c r="R2" s="12" t="s">
        <v>32</v>
      </c>
      <c r="S2" s="12"/>
      <c r="T2" s="12"/>
      <c r="U2" s="12"/>
      <c r="W2" s="15" t="s">
        <v>23</v>
      </c>
      <c r="X2" s="15"/>
      <c r="Y2" s="15"/>
      <c r="Z2" s="15"/>
      <c r="AA2" s="12" t="s">
        <v>26</v>
      </c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L3" s="12" t="s">
        <v>31</v>
      </c>
      <c r="M3" s="12"/>
      <c r="N3" s="12"/>
      <c r="O3" s="12"/>
      <c r="P3" s="12"/>
      <c r="Q3" s="12"/>
      <c r="R3" s="12" t="s">
        <v>33</v>
      </c>
      <c r="S3" s="12"/>
      <c r="T3" s="12"/>
      <c r="U3" s="12"/>
      <c r="W3" s="15" t="s">
        <v>24</v>
      </c>
      <c r="X3" s="15"/>
      <c r="Y3" s="15"/>
      <c r="Z3" s="15"/>
      <c r="AA3" s="12" t="s">
        <v>27</v>
      </c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W4" s="15"/>
      <c r="X4" s="15"/>
      <c r="Y4" s="15"/>
      <c r="Z4" s="15"/>
      <c r="AA4" s="12" t="s">
        <v>28</v>
      </c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8" spans="1:38">
      <c r="A8" s="1" t="s">
        <v>58</v>
      </c>
      <c r="D8" s="17">
        <v>0.41666666666666669</v>
      </c>
      <c r="E8" s="17"/>
      <c r="F8" s="17"/>
    </row>
    <row r="9" spans="1:38" s="2" customFormat="1" ht="18.600000000000001" thickBot="1">
      <c r="A9" s="20"/>
      <c r="B9" s="20"/>
      <c r="C9" s="29">
        <f>D8</f>
        <v>0.41666666666666669</v>
      </c>
      <c r="D9" s="29"/>
      <c r="E9" s="29"/>
      <c r="F9" s="29"/>
      <c r="G9" s="29"/>
      <c r="H9" s="30"/>
      <c r="I9" s="28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28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87"/>
      <c r="AG9" s="28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16" t="s">
        <v>1</v>
      </c>
      <c r="B10" s="16"/>
      <c r="C10" s="60" t="s">
        <v>50</v>
      </c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71" t="s">
        <v>53</v>
      </c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2"/>
      <c r="AG10" s="61" t="s">
        <v>59</v>
      </c>
      <c r="AH10" s="61"/>
      <c r="AI10" s="61"/>
      <c r="AJ10" s="61"/>
      <c r="AK10" s="61"/>
      <c r="AL10" s="72"/>
    </row>
    <row r="11" spans="1:38" ht="35.4" customHeight="1">
      <c r="A11" s="15" t="s">
        <v>38</v>
      </c>
      <c r="B11" s="15"/>
      <c r="C11" s="23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8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5"/>
      <c r="AG11" s="64"/>
      <c r="AH11" s="64"/>
      <c r="AI11" s="64"/>
      <c r="AJ11" s="64"/>
      <c r="AK11" s="64"/>
      <c r="AL11" s="79"/>
    </row>
    <row r="12" spans="1:38" ht="35.4" customHeight="1" thickBot="1">
      <c r="A12" s="21" t="s">
        <v>39</v>
      </c>
      <c r="B12" s="21"/>
      <c r="C12" s="50" t="s">
        <v>51</v>
      </c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69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8"/>
      <c r="AG12" s="67"/>
      <c r="AH12" s="67"/>
      <c r="AI12" s="67"/>
      <c r="AJ12" s="67"/>
      <c r="AK12" s="67"/>
      <c r="AL12" s="70"/>
    </row>
    <row r="13" spans="1:38" ht="57" customHeight="1" thickTop="1">
      <c r="A13" s="16" t="s">
        <v>17</v>
      </c>
      <c r="B13" s="16"/>
      <c r="C13" s="88" t="s">
        <v>74</v>
      </c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90"/>
      <c r="O13" s="19"/>
      <c r="P13" s="19"/>
      <c r="Q13" s="19"/>
      <c r="R13" s="19"/>
      <c r="S13" s="19"/>
      <c r="T13" s="33"/>
      <c r="U13" s="18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33"/>
      <c r="AG13" s="18"/>
      <c r="AH13" s="19"/>
      <c r="AI13" s="19"/>
      <c r="AJ13" s="19"/>
      <c r="AK13" s="19"/>
      <c r="AL13" s="19"/>
    </row>
    <row r="19" spans="1:38" ht="18.600000000000001" thickBot="1">
      <c r="A19" s="20"/>
      <c r="B19" s="20"/>
      <c r="C19" s="29">
        <f>AA9+'参照用（触らない）'!$A$1</f>
        <v>0.54166666666666663</v>
      </c>
      <c r="D19" s="29"/>
      <c r="E19" s="29"/>
      <c r="F19" s="29"/>
      <c r="G19" s="29"/>
      <c r="H19" s="30"/>
      <c r="I19" s="28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28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28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16" t="s">
        <v>1</v>
      </c>
      <c r="B20" s="16"/>
      <c r="C20" s="60" t="s">
        <v>63</v>
      </c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72"/>
      <c r="AA20" s="60" t="s">
        <v>46</v>
      </c>
      <c r="AB20" s="61"/>
      <c r="AC20" s="61"/>
      <c r="AD20" s="61"/>
      <c r="AE20" s="61"/>
      <c r="AF20" s="61"/>
      <c r="AG20" s="71" t="s">
        <v>65</v>
      </c>
      <c r="AH20" s="61"/>
      <c r="AI20" s="61"/>
      <c r="AJ20" s="61"/>
      <c r="AK20" s="61"/>
      <c r="AL20" s="72"/>
    </row>
    <row r="21" spans="1:38" ht="35.4" customHeight="1">
      <c r="A21" s="15" t="s">
        <v>38</v>
      </c>
      <c r="B21" s="15"/>
      <c r="C21" s="63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79"/>
      <c r="AA21" s="63"/>
      <c r="AB21" s="64"/>
      <c r="AC21" s="64"/>
      <c r="AD21" s="64"/>
      <c r="AE21" s="64"/>
      <c r="AF21" s="64"/>
      <c r="AG21" s="83"/>
      <c r="AH21" s="74"/>
      <c r="AI21" s="74"/>
      <c r="AJ21" s="74"/>
      <c r="AK21" s="74"/>
      <c r="AL21" s="75"/>
    </row>
    <row r="22" spans="1:38" ht="35.4" customHeight="1" thickBot="1">
      <c r="A22" s="21" t="s">
        <v>39</v>
      </c>
      <c r="B22" s="21"/>
      <c r="C22" s="66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70"/>
      <c r="AA22" s="66"/>
      <c r="AB22" s="67"/>
      <c r="AC22" s="67"/>
      <c r="AD22" s="67"/>
      <c r="AE22" s="67"/>
      <c r="AF22" s="67"/>
      <c r="AG22" s="92" t="s">
        <v>35</v>
      </c>
      <c r="AH22" s="51"/>
      <c r="AI22" s="51"/>
      <c r="AJ22" s="51"/>
      <c r="AK22" s="51"/>
      <c r="AL22" s="52"/>
    </row>
    <row r="23" spans="1:38" ht="57" customHeight="1" thickTop="1">
      <c r="A23" s="16" t="s">
        <v>17</v>
      </c>
      <c r="B23" s="16"/>
      <c r="C23" s="88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90"/>
      <c r="O23" s="19"/>
      <c r="P23" s="19"/>
      <c r="Q23" s="19"/>
      <c r="R23" s="19"/>
      <c r="S23" s="19"/>
      <c r="T23" s="33"/>
      <c r="U23" s="18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33"/>
      <c r="AG23" s="18"/>
      <c r="AH23" s="19"/>
      <c r="AI23" s="19"/>
      <c r="AJ23" s="19"/>
      <c r="AK23" s="19"/>
      <c r="AL23" s="19"/>
    </row>
    <row r="29" spans="1:38" ht="18.600000000000001" thickBot="1">
      <c r="A29" s="20"/>
      <c r="B29" s="20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28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28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28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16" t="s">
        <v>1</v>
      </c>
      <c r="B30" s="16"/>
      <c r="C30" s="60" t="s">
        <v>77</v>
      </c>
      <c r="D30" s="61"/>
      <c r="E30" s="61"/>
      <c r="F30" s="61"/>
      <c r="G30" s="61"/>
      <c r="H30" s="61"/>
      <c r="I30" s="71" t="s">
        <v>66</v>
      </c>
      <c r="J30" s="61"/>
      <c r="K30" s="61"/>
      <c r="L30" s="61"/>
      <c r="M30" s="61"/>
      <c r="N30" s="72"/>
      <c r="O30" s="61" t="s">
        <v>67</v>
      </c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72"/>
    </row>
    <row r="31" spans="1:38" ht="35.4" customHeight="1">
      <c r="A31" s="15" t="s">
        <v>38</v>
      </c>
      <c r="B31" s="15"/>
      <c r="C31" s="63"/>
      <c r="D31" s="64"/>
      <c r="E31" s="64"/>
      <c r="F31" s="64"/>
      <c r="G31" s="64"/>
      <c r="H31" s="64"/>
      <c r="I31" s="84"/>
      <c r="J31" s="64"/>
      <c r="K31" s="64"/>
      <c r="L31" s="64"/>
      <c r="M31" s="64"/>
      <c r="N31" s="79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79"/>
    </row>
    <row r="32" spans="1:38" ht="35.4" customHeight="1" thickBot="1">
      <c r="A32" s="21" t="s">
        <v>39</v>
      </c>
      <c r="B32" s="21"/>
      <c r="C32" s="66"/>
      <c r="D32" s="67"/>
      <c r="E32" s="67"/>
      <c r="F32" s="67"/>
      <c r="G32" s="67"/>
      <c r="H32" s="67"/>
      <c r="I32" s="69"/>
      <c r="J32" s="67"/>
      <c r="K32" s="67"/>
      <c r="L32" s="67"/>
      <c r="M32" s="67"/>
      <c r="N32" s="70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70"/>
    </row>
    <row r="33" spans="1:38" ht="57" customHeight="1" thickTop="1">
      <c r="A33" s="16" t="s">
        <v>17</v>
      </c>
      <c r="B33" s="16"/>
      <c r="C33" s="88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90"/>
      <c r="O33" s="19"/>
      <c r="P33" s="19"/>
      <c r="Q33" s="19"/>
      <c r="R33" s="19"/>
      <c r="S33" s="19"/>
      <c r="T33" s="33"/>
      <c r="U33" s="18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33"/>
      <c r="AG33" s="18"/>
      <c r="AH33" s="19"/>
      <c r="AI33" s="19"/>
      <c r="AJ33" s="19"/>
      <c r="AK33" s="19"/>
      <c r="AL33" s="19"/>
    </row>
    <row r="39" spans="1:38" ht="18.600000000000001" thickBot="1">
      <c r="A39" s="20"/>
      <c r="B39" s="20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28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28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28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16" t="s">
        <v>1</v>
      </c>
      <c r="B40" s="16"/>
      <c r="C40" s="60" t="s">
        <v>68</v>
      </c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72"/>
    </row>
    <row r="41" spans="1:38" ht="35.4" customHeight="1">
      <c r="A41" s="15" t="s">
        <v>38</v>
      </c>
      <c r="B41" s="15"/>
      <c r="C41" s="63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79"/>
    </row>
    <row r="42" spans="1:38" ht="35.4" customHeight="1" thickBot="1">
      <c r="A42" s="21" t="s">
        <v>39</v>
      </c>
      <c r="B42" s="21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70"/>
    </row>
    <row r="43" spans="1:38" ht="57" customHeight="1" thickTop="1">
      <c r="A43" s="16" t="s">
        <v>17</v>
      </c>
      <c r="B43" s="16"/>
      <c r="C43" s="19"/>
      <c r="D43" s="19"/>
      <c r="E43" s="19"/>
      <c r="F43" s="19"/>
      <c r="G43" s="19"/>
      <c r="H43" s="33"/>
      <c r="I43" s="18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33"/>
      <c r="U43" s="18"/>
      <c r="V43" s="19"/>
      <c r="W43" s="19"/>
      <c r="X43" s="19"/>
      <c r="Y43" s="19"/>
      <c r="Z43" s="19"/>
      <c r="AA43" s="76" t="s">
        <v>75</v>
      </c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8"/>
    </row>
    <row r="47" spans="1:38">
      <c r="A47" s="14" t="s">
        <v>1</v>
      </c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7"/>
      <c r="O47" s="14" t="s">
        <v>39</v>
      </c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7"/>
    </row>
    <row r="48" spans="1:38">
      <c r="A48" s="12" t="str">
        <f>VLOOKUP('参照用（触らない）'!$B2,メンバー!$A$13:$I$17,2,FALSE)</f>
        <v>春田ひなの</v>
      </c>
      <c r="B48" s="12"/>
      <c r="C48" s="12"/>
      <c r="D48" s="12" t="str">
        <f>VLOOKUP('参照用（触らない）'!$B2,メンバー!$A$13:$I$17,4,FALSE)</f>
        <v>×</v>
      </c>
      <c r="E48" s="12"/>
      <c r="F48" s="12"/>
      <c r="G48" s="13"/>
      <c r="H48" s="11"/>
      <c r="I48" s="12"/>
      <c r="J48" s="12"/>
      <c r="K48" s="12"/>
      <c r="L48" s="12"/>
      <c r="M48" s="12"/>
      <c r="N48" s="13"/>
      <c r="O48" s="11" t="str">
        <f>VLOOKUP('参照用（触らない）'!$B2,メンバー!$A$3:$I$11,3,FALSE)</f>
        <v>北風ゆうたろう</v>
      </c>
      <c r="P48" s="12"/>
      <c r="Q48" s="12"/>
      <c r="R48" s="12" t="str">
        <f>VLOOKUP('参照用（触らない）'!$B2,メンバー!$A$3:$I$11,4,FALSE)</f>
        <v>×</v>
      </c>
      <c r="S48" s="12"/>
      <c r="T48" s="12"/>
      <c r="U48" s="13"/>
      <c r="V48" s="11" t="str">
        <f>VLOOKUP('参照用（触らない）'!$B6,メンバー!$A$3:$I$11,3,FALSE)</f>
        <v>岡田萌</v>
      </c>
      <c r="W48" s="12"/>
      <c r="X48" s="12"/>
      <c r="Y48" s="13" t="str">
        <f>VLOOKUP('参照用（触らない）'!$B6,メンバー!$A$3:$I$11,4,FALSE)</f>
        <v>×</v>
      </c>
      <c r="Z48" s="94"/>
      <c r="AA48" s="94"/>
      <c r="AB48" s="95"/>
    </row>
    <row r="49" spans="1:28">
      <c r="A49" s="12" t="str">
        <f>VLOOKUP('参照用（触らない）'!$B3,メンバー!$A$13:$I$17,2,FALSE)</f>
        <v>すみほのか</v>
      </c>
      <c r="B49" s="12"/>
      <c r="C49" s="12"/>
      <c r="D49" s="12" t="str">
        <f>VLOOKUP('参照用（触らない）'!$B3,メンバー!$A$13:$I$17,4,FALSE)</f>
        <v>18:30～</v>
      </c>
      <c r="E49" s="12"/>
      <c r="F49" s="12"/>
      <c r="G49" s="13"/>
      <c r="H49" s="11"/>
      <c r="I49" s="12"/>
      <c r="J49" s="12"/>
      <c r="K49" s="12"/>
      <c r="L49" s="12"/>
      <c r="M49" s="12"/>
      <c r="N49" s="13"/>
      <c r="O49" s="11" t="str">
        <f>VLOOKUP('参照用（触らない）'!$B3,メンバー!$A$3:$I$11,3,FALSE)</f>
        <v>蒼樹とも</v>
      </c>
      <c r="P49" s="12"/>
      <c r="Q49" s="12"/>
      <c r="R49" s="12" t="str">
        <f>VLOOKUP('参照用（触らない）'!$B3,メンバー!$A$3:$I$11,4,FALSE)</f>
        <v>〇</v>
      </c>
      <c r="S49" s="12"/>
      <c r="T49" s="12"/>
      <c r="U49" s="13"/>
      <c r="V49" s="11" t="str">
        <f>VLOOKUP('参照用（触らない）'!$B7,メンバー!$A$3:$I$11,3,FALSE)</f>
        <v>葵</v>
      </c>
      <c r="W49" s="12"/>
      <c r="X49" s="12"/>
      <c r="Y49" s="13" t="str">
        <f>VLOOKUP('参照用（触らない）'!$B7,メンバー!$A$3:$I$11,4,FALSE)</f>
        <v>19:30～※</v>
      </c>
      <c r="Z49" s="94"/>
      <c r="AA49" s="94"/>
      <c r="AB49" s="95"/>
    </row>
    <row r="50" spans="1:28">
      <c r="A50" s="12" t="str">
        <f>VLOOKUP('参照用（触らない）'!$B4,メンバー!$A$13:$I$17,2,FALSE)</f>
        <v>古川詠介</v>
      </c>
      <c r="B50" s="12"/>
      <c r="C50" s="12"/>
      <c r="D50" s="12" t="str">
        <f>VLOOKUP('参照用（触らない）'!$B4,メンバー!$A$13:$I$17,4,FALSE)</f>
        <v>×</v>
      </c>
      <c r="E50" s="12"/>
      <c r="F50" s="12"/>
      <c r="G50" s="13"/>
      <c r="H50" s="11"/>
      <c r="I50" s="12"/>
      <c r="J50" s="12"/>
      <c r="K50" s="12"/>
      <c r="L50" s="12"/>
      <c r="M50" s="12"/>
      <c r="N50" s="13"/>
      <c r="O50" s="11" t="str">
        <f>VLOOKUP('参照用（触らない）'!$B4,メンバー!$A$3:$I$11,3,FALSE)</f>
        <v>N碕</v>
      </c>
      <c r="P50" s="12"/>
      <c r="Q50" s="12"/>
      <c r="R50" s="12" t="str">
        <f>VLOOKUP('参照用（触らない）'!$B4,メンバー!$A$3:$I$11,4,FALSE)</f>
        <v>19～※</v>
      </c>
      <c r="S50" s="12"/>
      <c r="T50" s="12"/>
      <c r="U50" s="13"/>
      <c r="V50" s="11" t="e">
        <f>VLOOKUP('参照用（触らない）'!$B8,メンバー!$A$3:$I$11,3,FALSE)</f>
        <v>#N/A</v>
      </c>
      <c r="W50" s="12"/>
      <c r="X50" s="12"/>
      <c r="Y50" s="13" t="e">
        <f>VLOOKUP('参照用（触らない）'!$B8,メンバー!$A$3:$I$11,4,FALSE)</f>
        <v>#N/A</v>
      </c>
      <c r="Z50" s="94"/>
      <c r="AA50" s="94"/>
      <c r="AB50" s="95"/>
    </row>
    <row r="51" spans="1:28">
      <c r="A51" s="12" t="e">
        <f>VLOOKUP('参照用（触らない）'!$B5,メンバー!$A$13:$I$17,2,FALSE)</f>
        <v>#N/A</v>
      </c>
      <c r="B51" s="12"/>
      <c r="C51" s="12"/>
      <c r="D51" s="12" t="e">
        <f>VLOOKUP('参照用（触らない）'!$B5,メンバー!$A$13:$I$17,4,FALSE)</f>
        <v>#N/A</v>
      </c>
      <c r="E51" s="12"/>
      <c r="F51" s="12"/>
      <c r="G51" s="13"/>
      <c r="H51" s="11"/>
      <c r="I51" s="12"/>
      <c r="J51" s="12"/>
      <c r="K51" s="12"/>
      <c r="L51" s="12"/>
      <c r="M51" s="12"/>
      <c r="N51" s="13"/>
      <c r="O51" s="11" t="str">
        <f>VLOOKUP('参照用（触らない）'!$B5,メンバー!$A$3:$I$11,3,FALSE)</f>
        <v>齋藤大輝</v>
      </c>
      <c r="P51" s="12"/>
      <c r="Q51" s="12"/>
      <c r="R51" s="12" t="str">
        <f>VLOOKUP('参照用（触らない）'!$B5,メンバー!$A$3:$I$11,4,FALSE)</f>
        <v>10～17:45</v>
      </c>
      <c r="S51" s="12"/>
      <c r="T51" s="12"/>
      <c r="U51" s="13"/>
      <c r="V51" s="11"/>
      <c r="W51" s="12"/>
      <c r="X51" s="12"/>
      <c r="Y51" s="12"/>
      <c r="Z51" s="12"/>
      <c r="AA51" s="12"/>
      <c r="AB51" s="12"/>
    </row>
  </sheetData>
  <mergeCells count="127">
    <mergeCell ref="C40:AL42"/>
    <mergeCell ref="A47:N47"/>
    <mergeCell ref="O47:AB47"/>
    <mergeCell ref="A33:B33"/>
    <mergeCell ref="C33:N33"/>
    <mergeCell ref="O33:T33"/>
    <mergeCell ref="U33:Z33"/>
    <mergeCell ref="AA33:AF33"/>
    <mergeCell ref="AG22:AL22"/>
    <mergeCell ref="AG20:AL21"/>
    <mergeCell ref="A43:B43"/>
    <mergeCell ref="C43:H43"/>
    <mergeCell ref="I43:N43"/>
    <mergeCell ref="O43:T43"/>
    <mergeCell ref="U43:Z43"/>
    <mergeCell ref="AA43:AL43"/>
    <mergeCell ref="AG39:AL39"/>
    <mergeCell ref="A40:B40"/>
    <mergeCell ref="A41:B41"/>
    <mergeCell ref="A42:B42"/>
    <mergeCell ref="A39:B39"/>
    <mergeCell ref="C39:H39"/>
    <mergeCell ref="I39:N39"/>
    <mergeCell ref="O39:T39"/>
    <mergeCell ref="U39:Z39"/>
    <mergeCell ref="AA39:AF39"/>
    <mergeCell ref="AG33:AL33"/>
    <mergeCell ref="U23:Z23"/>
    <mergeCell ref="AA23:AF23"/>
    <mergeCell ref="AG29:AL29"/>
    <mergeCell ref="A30:B30"/>
    <mergeCell ref="A31:B31"/>
    <mergeCell ref="U29:Z29"/>
    <mergeCell ref="AA29:AF29"/>
    <mergeCell ref="AG23:AL23"/>
    <mergeCell ref="A23:B23"/>
    <mergeCell ref="C23:N23"/>
    <mergeCell ref="O23:T23"/>
    <mergeCell ref="C30:H32"/>
    <mergeCell ref="I30:N32"/>
    <mergeCell ref="O30:AL32"/>
    <mergeCell ref="A32:B32"/>
    <mergeCell ref="A29:B29"/>
    <mergeCell ref="C29:H29"/>
    <mergeCell ref="I29:N29"/>
    <mergeCell ref="O29:T29"/>
    <mergeCell ref="AG19:AL19"/>
    <mergeCell ref="A20:B20"/>
    <mergeCell ref="C20:Z22"/>
    <mergeCell ref="AA20:AF22"/>
    <mergeCell ref="A21:B21"/>
    <mergeCell ref="A22:B22"/>
    <mergeCell ref="A19:B19"/>
    <mergeCell ref="C19:H19"/>
    <mergeCell ref="I19:N19"/>
    <mergeCell ref="O19:T19"/>
    <mergeCell ref="U19:Z19"/>
    <mergeCell ref="AA19:AF19"/>
    <mergeCell ref="AG13:AL13"/>
    <mergeCell ref="AA9:AF9"/>
    <mergeCell ref="AG9:AL9"/>
    <mergeCell ref="A10:B10"/>
    <mergeCell ref="C10:T11"/>
    <mergeCell ref="U10:AF12"/>
    <mergeCell ref="AG10:AL12"/>
    <mergeCell ref="A11:B11"/>
    <mergeCell ref="A12:B12"/>
    <mergeCell ref="C12:T12"/>
    <mergeCell ref="U9:Z9"/>
    <mergeCell ref="A13:B13"/>
    <mergeCell ref="C13:N13"/>
    <mergeCell ref="O13:T13"/>
    <mergeCell ref="U13:Z13"/>
    <mergeCell ref="AA13:AF13"/>
    <mergeCell ref="AA1:AL1"/>
    <mergeCell ref="AA2:AL2"/>
    <mergeCell ref="L3:Q3"/>
    <mergeCell ref="R3:U3"/>
    <mergeCell ref="W3:Z4"/>
    <mergeCell ref="AA3:AL3"/>
    <mergeCell ref="AA4:AL4"/>
    <mergeCell ref="D8:F8"/>
    <mergeCell ref="A9:B9"/>
    <mergeCell ref="C9:H9"/>
    <mergeCell ref="I9:N9"/>
    <mergeCell ref="O9:T9"/>
    <mergeCell ref="A2:B2"/>
    <mergeCell ref="C2:J2"/>
    <mergeCell ref="L2:Q2"/>
    <mergeCell ref="R2:U2"/>
    <mergeCell ref="W2:Z2"/>
    <mergeCell ref="A1:B1"/>
    <mergeCell ref="C1:J1"/>
    <mergeCell ref="L1:U1"/>
    <mergeCell ref="W1:Z1"/>
    <mergeCell ref="A48:C48"/>
    <mergeCell ref="D48:G48"/>
    <mergeCell ref="H48:J48"/>
    <mergeCell ref="K48:N48"/>
    <mergeCell ref="O48:Q48"/>
    <mergeCell ref="R48:U48"/>
    <mergeCell ref="V48:X48"/>
    <mergeCell ref="Y48:AB48"/>
    <mergeCell ref="R49:U49"/>
    <mergeCell ref="V49:X49"/>
    <mergeCell ref="Y49:AB49"/>
    <mergeCell ref="A49:C49"/>
    <mergeCell ref="D49:G49"/>
    <mergeCell ref="H49:J49"/>
    <mergeCell ref="K49:N49"/>
    <mergeCell ref="O49:Q49"/>
    <mergeCell ref="R50:U50"/>
    <mergeCell ref="V50:X50"/>
    <mergeCell ref="Y50:AB50"/>
    <mergeCell ref="A50:C50"/>
    <mergeCell ref="D50:G50"/>
    <mergeCell ref="H50:J50"/>
    <mergeCell ref="K50:N50"/>
    <mergeCell ref="O50:Q50"/>
    <mergeCell ref="R51:U51"/>
    <mergeCell ref="V51:X51"/>
    <mergeCell ref="Y51:AB51"/>
    <mergeCell ref="A51:C51"/>
    <mergeCell ref="D51:G51"/>
    <mergeCell ref="H51:J51"/>
    <mergeCell ref="K51:N51"/>
    <mergeCell ref="O51:Q51"/>
  </mergeCells>
  <phoneticPr fontId="2"/>
  <pageMargins left="0.7" right="0.7" top="0.75" bottom="0.75" header="0.3" footer="0.3"/>
  <pageSetup paperSize="9" scale="54" orientation="portrait" horizont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J22"/>
  <sheetViews>
    <sheetView view="pageBreakPreview" zoomScaleNormal="75" zoomScaleSheetLayoutView="100" workbookViewId="0">
      <selection activeCell="A14" sqref="A14"/>
    </sheetView>
  </sheetViews>
  <sheetFormatPr defaultColWidth="3.59765625" defaultRowHeight="18"/>
  <cols>
    <col min="1" max="1" width="3.59765625" style="1"/>
    <col min="2" max="2" width="10.3984375" style="1" bestFit="1" customWidth="1"/>
    <col min="3" max="3" width="14.3984375" style="1" bestFit="1" customWidth="1"/>
    <col min="4" max="9" width="9" style="1" bestFit="1" customWidth="1"/>
    <col min="10" max="10" width="5.8984375" style="1" bestFit="1" customWidth="1"/>
    <col min="11" max="16384" width="3.59765625" style="1"/>
  </cols>
  <sheetData>
    <row r="2" spans="1:10">
      <c r="B2" s="93" t="s">
        <v>0</v>
      </c>
      <c r="C2" s="93"/>
      <c r="D2" s="5">
        <v>46105</v>
      </c>
      <c r="E2" s="5">
        <v>46106</v>
      </c>
      <c r="F2" s="5">
        <v>46107</v>
      </c>
      <c r="G2" s="5">
        <v>46108</v>
      </c>
      <c r="H2" s="5">
        <v>46109</v>
      </c>
      <c r="I2" s="5">
        <v>46110</v>
      </c>
    </row>
    <row r="3" spans="1:10">
      <c r="A3" s="1">
        <v>1</v>
      </c>
      <c r="B3" s="3" t="s">
        <v>2</v>
      </c>
      <c r="C3" s="3" t="s">
        <v>78</v>
      </c>
      <c r="D3" s="108" t="s">
        <v>89</v>
      </c>
      <c r="E3" s="108" t="s">
        <v>89</v>
      </c>
      <c r="F3" s="108" t="s">
        <v>89</v>
      </c>
      <c r="G3" s="108" t="s">
        <v>12</v>
      </c>
      <c r="H3" s="108" t="s">
        <v>12</v>
      </c>
      <c r="I3" s="108" t="s">
        <v>12</v>
      </c>
      <c r="J3" s="1" t="s">
        <v>118</v>
      </c>
    </row>
    <row r="4" spans="1:10">
      <c r="A4" s="1">
        <v>2</v>
      </c>
      <c r="B4" s="3" t="s">
        <v>5</v>
      </c>
      <c r="C4" s="3" t="s">
        <v>79</v>
      </c>
      <c r="D4" s="109" t="s">
        <v>13</v>
      </c>
      <c r="E4" s="109" t="s">
        <v>13</v>
      </c>
      <c r="F4" s="109" t="s">
        <v>13</v>
      </c>
      <c r="G4" s="108" t="s">
        <v>12</v>
      </c>
      <c r="H4" s="108" t="s">
        <v>12</v>
      </c>
      <c r="I4" s="108" t="s">
        <v>12</v>
      </c>
    </row>
    <row r="5" spans="1:10">
      <c r="A5" s="1">
        <v>3</v>
      </c>
      <c r="B5" s="3" t="s">
        <v>3</v>
      </c>
      <c r="C5" s="3" t="s">
        <v>11</v>
      </c>
      <c r="D5" s="108" t="s">
        <v>12</v>
      </c>
      <c r="E5" s="108" t="s">
        <v>91</v>
      </c>
      <c r="F5" s="108" t="s">
        <v>91</v>
      </c>
      <c r="G5" s="108" t="s">
        <v>12</v>
      </c>
      <c r="H5" s="108" t="s">
        <v>12</v>
      </c>
      <c r="I5" s="108" t="s">
        <v>12</v>
      </c>
    </row>
    <row r="6" spans="1:10">
      <c r="A6" s="1">
        <v>4</v>
      </c>
      <c r="B6" s="3" t="s">
        <v>4</v>
      </c>
      <c r="C6" s="3" t="s">
        <v>80</v>
      </c>
      <c r="D6" s="108" t="s">
        <v>120</v>
      </c>
      <c r="E6" s="108" t="s">
        <v>120</v>
      </c>
      <c r="F6" s="108" t="s">
        <v>120</v>
      </c>
      <c r="G6" s="108" t="s">
        <v>12</v>
      </c>
      <c r="H6" s="108" t="s">
        <v>12</v>
      </c>
      <c r="I6" s="108" t="s">
        <v>12</v>
      </c>
      <c r="J6" s="1" t="s">
        <v>119</v>
      </c>
    </row>
    <row r="7" spans="1:10">
      <c r="A7" s="1">
        <v>5</v>
      </c>
      <c r="B7" s="3" t="s">
        <v>6</v>
      </c>
      <c r="C7" s="3" t="s">
        <v>81</v>
      </c>
      <c r="D7" s="108" t="s">
        <v>90</v>
      </c>
      <c r="E7" s="108" t="s">
        <v>12</v>
      </c>
      <c r="F7" s="108" t="s">
        <v>12</v>
      </c>
      <c r="G7" s="108" t="s">
        <v>12</v>
      </c>
      <c r="H7" s="108" t="s">
        <v>12</v>
      </c>
      <c r="I7" s="108" t="s">
        <v>12</v>
      </c>
    </row>
    <row r="8" spans="1:10">
      <c r="A8" s="1">
        <v>6</v>
      </c>
      <c r="B8" s="3" t="s">
        <v>7</v>
      </c>
      <c r="C8" s="3" t="s">
        <v>82</v>
      </c>
      <c r="D8" s="108" t="s">
        <v>13</v>
      </c>
      <c r="E8" s="108" t="s">
        <v>92</v>
      </c>
      <c r="F8" s="108" t="s">
        <v>12</v>
      </c>
      <c r="G8" s="109" t="s">
        <v>15</v>
      </c>
      <c r="H8" s="108" t="s">
        <v>12</v>
      </c>
      <c r="I8" s="108" t="s">
        <v>12</v>
      </c>
    </row>
    <row r="9" spans="1:10">
      <c r="B9" s="3" t="s">
        <v>8</v>
      </c>
      <c r="C9" s="3"/>
      <c r="D9" s="108"/>
      <c r="E9" s="108"/>
      <c r="F9" s="108"/>
      <c r="G9" s="108"/>
      <c r="H9" s="108"/>
      <c r="I9" s="108"/>
    </row>
    <row r="10" spans="1:10">
      <c r="A10" s="1">
        <v>7</v>
      </c>
      <c r="B10" s="3" t="s">
        <v>9</v>
      </c>
      <c r="C10" s="3" t="s">
        <v>83</v>
      </c>
      <c r="D10" s="108" t="s">
        <v>122</v>
      </c>
      <c r="E10" s="108" t="s">
        <v>122</v>
      </c>
      <c r="F10" s="108" t="s">
        <v>122</v>
      </c>
      <c r="G10" s="108" t="s">
        <v>122</v>
      </c>
      <c r="H10" s="108" t="s">
        <v>12</v>
      </c>
      <c r="I10" s="108" t="s">
        <v>12</v>
      </c>
      <c r="J10" s="1" t="s">
        <v>121</v>
      </c>
    </row>
    <row r="11" spans="1:10">
      <c r="B11" s="3" t="s">
        <v>10</v>
      </c>
      <c r="C11" s="3"/>
      <c r="D11" s="3"/>
      <c r="E11" s="3"/>
      <c r="F11" s="3"/>
      <c r="G11" s="3"/>
      <c r="H11" s="3"/>
      <c r="I11" s="3"/>
    </row>
    <row r="12" spans="1:10">
      <c r="B12" s="93" t="s">
        <v>1</v>
      </c>
      <c r="C12" s="93"/>
      <c r="D12" s="4">
        <f>D2</f>
        <v>46105</v>
      </c>
      <c r="E12" s="4">
        <f t="shared" ref="E12:I12" si="0">E2</f>
        <v>46106</v>
      </c>
      <c r="F12" s="4">
        <f t="shared" si="0"/>
        <v>46107</v>
      </c>
      <c r="G12" s="4">
        <f t="shared" ref="G12:H12" si="1">G2</f>
        <v>46108</v>
      </c>
      <c r="H12" s="4">
        <f t="shared" si="1"/>
        <v>46109</v>
      </c>
      <c r="I12" s="4">
        <f t="shared" si="0"/>
        <v>46110</v>
      </c>
    </row>
    <row r="13" spans="1:10">
      <c r="A13" s="1">
        <v>1</v>
      </c>
      <c r="B13" s="12" t="s">
        <v>84</v>
      </c>
      <c r="C13" s="12"/>
      <c r="D13" s="108" t="s">
        <v>14</v>
      </c>
      <c r="E13" s="108" t="s">
        <v>14</v>
      </c>
      <c r="F13" s="108" t="s">
        <v>14</v>
      </c>
      <c r="G13" s="110" t="s">
        <v>13</v>
      </c>
      <c r="H13" s="108" t="s">
        <v>12</v>
      </c>
      <c r="I13" s="108" t="s">
        <v>12</v>
      </c>
      <c r="J13" s="1" t="s">
        <v>117</v>
      </c>
    </row>
    <row r="14" spans="1:10">
      <c r="B14" s="12" t="s">
        <v>85</v>
      </c>
      <c r="C14" s="12"/>
      <c r="D14" s="109"/>
      <c r="E14" s="108"/>
      <c r="F14" s="108"/>
      <c r="G14" s="108"/>
      <c r="H14" s="108"/>
      <c r="I14" s="108"/>
      <c r="J14" s="10"/>
    </row>
    <row r="15" spans="1:10">
      <c r="A15" s="1">
        <v>2</v>
      </c>
      <c r="B15" s="12" t="s">
        <v>86</v>
      </c>
      <c r="C15" s="12"/>
      <c r="D15" s="109" t="s">
        <v>13</v>
      </c>
      <c r="E15" s="109" t="s">
        <v>13</v>
      </c>
      <c r="F15" s="108" t="s">
        <v>124</v>
      </c>
      <c r="G15" s="108" t="s">
        <v>124</v>
      </c>
      <c r="H15" s="108" t="s">
        <v>12</v>
      </c>
      <c r="I15" s="108" t="s">
        <v>12</v>
      </c>
      <c r="J15" s="1" t="s">
        <v>123</v>
      </c>
    </row>
    <row r="16" spans="1:10">
      <c r="A16" s="1">
        <v>3</v>
      </c>
      <c r="B16" s="12" t="s">
        <v>87</v>
      </c>
      <c r="C16" s="12"/>
      <c r="D16" s="109" t="s">
        <v>15</v>
      </c>
      <c r="E16" s="109" t="s">
        <v>15</v>
      </c>
      <c r="F16" s="109" t="s">
        <v>15</v>
      </c>
      <c r="G16" s="109" t="s">
        <v>92</v>
      </c>
      <c r="H16" s="108" t="s">
        <v>12</v>
      </c>
      <c r="I16" s="108" t="s">
        <v>12</v>
      </c>
    </row>
    <row r="17" spans="1:10">
      <c r="A17" s="1">
        <v>4</v>
      </c>
      <c r="B17" s="12" t="s">
        <v>88</v>
      </c>
      <c r="C17" s="12"/>
      <c r="D17" s="108" t="s">
        <v>13</v>
      </c>
      <c r="E17" s="108" t="s">
        <v>13</v>
      </c>
      <c r="F17" s="108" t="s">
        <v>13</v>
      </c>
      <c r="G17" s="109" t="s">
        <v>92</v>
      </c>
      <c r="H17" s="108" t="s">
        <v>12</v>
      </c>
      <c r="I17" s="108" t="s">
        <v>12</v>
      </c>
    </row>
    <row r="18" spans="1:10">
      <c r="B18" s="12"/>
      <c r="C18" s="12"/>
      <c r="D18" s="3"/>
      <c r="E18" s="6"/>
      <c r="F18" s="3"/>
      <c r="G18" s="3"/>
      <c r="H18" s="3"/>
      <c r="I18" s="3"/>
    </row>
    <row r="19" spans="1:10">
      <c r="B19" s="12"/>
      <c r="C19" s="12"/>
      <c r="D19" s="3"/>
      <c r="E19" s="3"/>
      <c r="F19" s="3"/>
      <c r="G19" s="3"/>
      <c r="H19" s="3"/>
      <c r="I19" s="3"/>
    </row>
    <row r="20" spans="1:10">
      <c r="B20" s="12"/>
      <c r="C20" s="12"/>
      <c r="D20" s="3"/>
      <c r="E20" s="6"/>
      <c r="F20" s="3"/>
      <c r="G20" s="3"/>
      <c r="H20" s="3"/>
      <c r="I20" s="3"/>
    </row>
    <row r="21" spans="1:10">
      <c r="B21" s="12"/>
      <c r="C21" s="12"/>
      <c r="D21" s="3"/>
      <c r="E21" s="3"/>
      <c r="F21" s="3"/>
      <c r="G21" s="3"/>
      <c r="H21" s="3"/>
      <c r="I21" s="3"/>
      <c r="J21" s="9"/>
    </row>
    <row r="22" spans="1:10">
      <c r="B22" s="12"/>
      <c r="C22" s="12"/>
      <c r="D22" s="3"/>
      <c r="E22" s="3"/>
      <c r="F22" s="3"/>
      <c r="G22" s="3"/>
      <c r="H22" s="3"/>
      <c r="I22" s="3"/>
    </row>
  </sheetData>
  <mergeCells count="12">
    <mergeCell ref="B18:C18"/>
    <mergeCell ref="B19:C19"/>
    <mergeCell ref="B20:C20"/>
    <mergeCell ref="B21:C21"/>
    <mergeCell ref="B22:C22"/>
    <mergeCell ref="B16:C16"/>
    <mergeCell ref="B17:C17"/>
    <mergeCell ref="B2:C2"/>
    <mergeCell ref="B12:C12"/>
    <mergeCell ref="B13:C13"/>
    <mergeCell ref="B14:C14"/>
    <mergeCell ref="B15:C15"/>
  </mergeCells>
  <phoneticPr fontId="2"/>
  <pageMargins left="0.7" right="0.7" top="0.75" bottom="0.75" header="0.3" footer="0.3"/>
  <pageSetup paperSize="9" orientation="landscape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6357B-740C-454A-9CF5-CA0D7402B612}">
  <sheetPr>
    <pageSetUpPr fitToPage="1"/>
  </sheetPr>
  <dimension ref="A1:B15"/>
  <sheetViews>
    <sheetView view="pageLayout" zoomScaleNormal="75" workbookViewId="0">
      <selection activeCell="B1" sqref="B1"/>
    </sheetView>
  </sheetViews>
  <sheetFormatPr defaultRowHeight="18"/>
  <sheetData>
    <row r="1" spans="1:2">
      <c r="A1" s="7">
        <v>4.1666666666666664E-2</v>
      </c>
      <c r="B1">
        <v>1</v>
      </c>
    </row>
    <row r="2" spans="1:2">
      <c r="A2" s="7">
        <v>2.0833333333333332E-2</v>
      </c>
      <c r="B2">
        <v>2</v>
      </c>
    </row>
    <row r="3" spans="1:2">
      <c r="B3">
        <v>3</v>
      </c>
    </row>
    <row r="4" spans="1:2">
      <c r="B4">
        <v>4</v>
      </c>
    </row>
    <row r="5" spans="1:2">
      <c r="B5">
        <v>5</v>
      </c>
    </row>
    <row r="6" spans="1:2">
      <c r="B6">
        <v>6</v>
      </c>
    </row>
    <row r="7" spans="1:2">
      <c r="B7">
        <v>7</v>
      </c>
    </row>
    <row r="8" spans="1:2">
      <c r="B8">
        <v>8</v>
      </c>
    </row>
    <row r="9" spans="1:2">
      <c r="B9">
        <v>9</v>
      </c>
    </row>
    <row r="10" spans="1:2">
      <c r="B10">
        <v>10</v>
      </c>
    </row>
    <row r="11" spans="1:2">
      <c r="B11">
        <v>11</v>
      </c>
    </row>
    <row r="12" spans="1:2">
      <c r="B12">
        <v>12</v>
      </c>
    </row>
    <row r="13" spans="1:2">
      <c r="B13">
        <v>13</v>
      </c>
    </row>
    <row r="14" spans="1:2">
      <c r="B14">
        <v>14</v>
      </c>
    </row>
    <row r="15" spans="1:2">
      <c r="B15">
        <v>15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F4567-2577-4FD2-A2DF-D958A6058A39}">
  <sheetPr>
    <pageSetUpPr fitToPage="1"/>
  </sheetPr>
  <dimension ref="A1"/>
  <sheetViews>
    <sheetView view="pageLayout" zoomScaleNormal="75" workbookViewId="0">
      <selection activeCell="C6" sqref="C6"/>
    </sheetView>
  </sheetViews>
  <sheetFormatPr defaultRowHeight="18"/>
  <cols>
    <col min="1" max="16384" width="8.796875" style="8"/>
  </cols>
  <sheetData/>
  <phoneticPr fontId="2"/>
  <pageMargins left="0.7" right="0.7" top="0.75" bottom="0.75" header="0.3" footer="0.3"/>
  <pageSetup paperSize="9" scale="83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9</vt:i4>
      </vt:variant>
    </vt:vector>
  </HeadingPairs>
  <TitlesOfParts>
    <vt:vector size="21" baseType="lpstr">
      <vt:lpstr>0324</vt:lpstr>
      <vt:lpstr>0325</vt:lpstr>
      <vt:lpstr>0326</vt:lpstr>
      <vt:lpstr>0327</vt:lpstr>
      <vt:lpstr>0328</vt:lpstr>
      <vt:lpstr>0329</vt:lpstr>
      <vt:lpstr>0327_2</vt:lpstr>
      <vt:lpstr>0328_2</vt:lpstr>
      <vt:lpstr>0329_</vt:lpstr>
      <vt:lpstr>メンバー</vt:lpstr>
      <vt:lpstr>参照用（触らない）</vt:lpstr>
      <vt:lpstr>参照用</vt:lpstr>
      <vt:lpstr>'0324'!Print_Area</vt:lpstr>
      <vt:lpstr>'0325'!Print_Area</vt:lpstr>
      <vt:lpstr>'0326'!Print_Area</vt:lpstr>
      <vt:lpstr>'0327'!Print_Area</vt:lpstr>
      <vt:lpstr>'0327_2'!Print_Area</vt:lpstr>
      <vt:lpstr>'0328'!Print_Area</vt:lpstr>
      <vt:lpstr>'0328_2'!Print_Area</vt:lpstr>
      <vt:lpstr>'0329'!Print_Area</vt:lpstr>
      <vt:lpstr>'0329_'!Print_Area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智之青木</dc:creator>
  <cp:lastModifiedBy>青木 智之</cp:lastModifiedBy>
  <cp:lastPrinted>2025-11-24T01:46:58Z</cp:lastPrinted>
  <dcterms:created xsi:type="dcterms:W3CDTF">2015-06-05T18:19:34Z</dcterms:created>
  <dcterms:modified xsi:type="dcterms:W3CDTF">2026-03-03T18:25:23Z</dcterms:modified>
</cp:coreProperties>
</file>