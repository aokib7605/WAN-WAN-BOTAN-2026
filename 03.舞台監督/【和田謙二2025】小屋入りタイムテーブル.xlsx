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01.ドキュメント\01.劇団抜きにくい釘\07.個人\蒼樹とも\01.参加公演\2025.12 和田謙二2025『キャプテン・カメオカ ヒーローVS魔法少女』\02.舞台監督\"/>
    </mc:Choice>
  </mc:AlternateContent>
  <xr:revisionPtr revIDLastSave="0" documentId="13_ncr:1_{8E66436B-7693-4ADB-B85D-5D8D570DBDF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1211" sheetId="2" r:id="rId1"/>
    <sheet name="1212" sheetId="4" r:id="rId2"/>
    <sheet name="1213" sheetId="5" r:id="rId3"/>
    <sheet name="1214" sheetId="6" r:id="rId4"/>
    <sheet name="メンバー" sheetId="1" r:id="rId5"/>
    <sheet name="参照用（触らない）" sheetId="3" r:id="rId6"/>
    <sheet name="参照用" sheetId="7" r:id="rId7"/>
  </sheets>
  <definedNames>
    <definedName name="_xlnm.Print_Area" localSheetId="0">'1211'!$A$1:$AL$50</definedName>
    <definedName name="_xlnm.Print_Area" localSheetId="1">'1212'!$A$1:$AL$51</definedName>
    <definedName name="_xlnm.Print_Area" localSheetId="2">'1213'!$A$1:$AL$51</definedName>
    <definedName name="_xlnm.Print_Area" localSheetId="3">'1214'!$A$1:$AL$51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49" i="6" l="1"/>
  <c r="AF50" i="6"/>
  <c r="AF48" i="6"/>
  <c r="Y49" i="6"/>
  <c r="Y50" i="6"/>
  <c r="Y51" i="6"/>
  <c r="Y48" i="6"/>
  <c r="R49" i="6"/>
  <c r="R48" i="6"/>
  <c r="K49" i="6"/>
  <c r="K50" i="6"/>
  <c r="K51" i="6"/>
  <c r="K48" i="6"/>
  <c r="D49" i="6"/>
  <c r="D50" i="6"/>
  <c r="D51" i="6"/>
  <c r="D48" i="6"/>
  <c r="AF49" i="5"/>
  <c r="AF50" i="5"/>
  <c r="AF48" i="5"/>
  <c r="Y49" i="5"/>
  <c r="Y50" i="5"/>
  <c r="Y51" i="5"/>
  <c r="Y48" i="5"/>
  <c r="R49" i="5"/>
  <c r="R48" i="5"/>
  <c r="K49" i="5"/>
  <c r="K50" i="5"/>
  <c r="K51" i="5"/>
  <c r="K48" i="5"/>
  <c r="D49" i="5"/>
  <c r="D50" i="5"/>
  <c r="D51" i="5"/>
  <c r="D48" i="5"/>
  <c r="AF49" i="4"/>
  <c r="AF50" i="4"/>
  <c r="AF48" i="4"/>
  <c r="Y49" i="4"/>
  <c r="Y50" i="4"/>
  <c r="Y51" i="4"/>
  <c r="Y48" i="4"/>
  <c r="R49" i="4"/>
  <c r="R48" i="4"/>
  <c r="K49" i="4"/>
  <c r="K50" i="4"/>
  <c r="K51" i="4"/>
  <c r="K48" i="4"/>
  <c r="D49" i="4"/>
  <c r="D50" i="4"/>
  <c r="D51" i="4"/>
  <c r="D48" i="4"/>
  <c r="V51" i="6"/>
  <c r="H51" i="6"/>
  <c r="A51" i="6"/>
  <c r="AC50" i="6"/>
  <c r="V50" i="6"/>
  <c r="H50" i="6"/>
  <c r="A50" i="6"/>
  <c r="AC49" i="6"/>
  <c r="V49" i="6"/>
  <c r="O49" i="6"/>
  <c r="H49" i="6"/>
  <c r="A49" i="6"/>
  <c r="AC48" i="6"/>
  <c r="V48" i="6"/>
  <c r="O48" i="6"/>
  <c r="H48" i="6"/>
  <c r="A48" i="6"/>
  <c r="V51" i="5"/>
  <c r="H51" i="5"/>
  <c r="A51" i="5"/>
  <c r="AC50" i="5"/>
  <c r="V50" i="5"/>
  <c r="H50" i="5"/>
  <c r="A50" i="5"/>
  <c r="AC49" i="5"/>
  <c r="V49" i="5"/>
  <c r="O49" i="5"/>
  <c r="H49" i="5"/>
  <c r="A49" i="5"/>
  <c r="AC48" i="5"/>
  <c r="V48" i="5"/>
  <c r="O48" i="5"/>
  <c r="H48" i="5"/>
  <c r="A48" i="5"/>
  <c r="AC49" i="4"/>
  <c r="AC50" i="4"/>
  <c r="AC48" i="4"/>
  <c r="V49" i="4"/>
  <c r="V50" i="4"/>
  <c r="V51" i="4"/>
  <c r="O49" i="4"/>
  <c r="O48" i="4"/>
  <c r="H49" i="4"/>
  <c r="H50" i="4"/>
  <c r="H51" i="4"/>
  <c r="H48" i="4"/>
  <c r="A51" i="4"/>
  <c r="A49" i="4"/>
  <c r="A50" i="4"/>
  <c r="V48" i="4"/>
  <c r="A48" i="4"/>
  <c r="AF48" i="2"/>
  <c r="AF49" i="2"/>
  <c r="AC48" i="2"/>
  <c r="AC49" i="2"/>
  <c r="AF47" i="2"/>
  <c r="AC47" i="2"/>
  <c r="Y48" i="2"/>
  <c r="Y49" i="2"/>
  <c r="Y50" i="2"/>
  <c r="Y47" i="2"/>
  <c r="V48" i="2"/>
  <c r="V49" i="2"/>
  <c r="V50" i="2"/>
  <c r="V47" i="2"/>
  <c r="R48" i="2"/>
  <c r="O48" i="2"/>
  <c r="R47" i="2"/>
  <c r="O47" i="2"/>
  <c r="K48" i="2"/>
  <c r="K49" i="2"/>
  <c r="K50" i="2"/>
  <c r="H48" i="2"/>
  <c r="H49" i="2"/>
  <c r="H50" i="2"/>
  <c r="K47" i="2"/>
  <c r="H47" i="2"/>
  <c r="D48" i="2"/>
  <c r="D49" i="2"/>
  <c r="D50" i="2"/>
  <c r="D47" i="2"/>
  <c r="A48" i="2"/>
  <c r="A49" i="2"/>
  <c r="A50" i="2"/>
  <c r="A47" i="2"/>
  <c r="C9" i="6"/>
  <c r="O9" i="6" s="1"/>
  <c r="AA9" i="6" l="1"/>
  <c r="U9" i="6"/>
  <c r="I9" i="6"/>
  <c r="C19" i="6" l="1"/>
  <c r="AG9" i="6"/>
  <c r="C9" i="5"/>
  <c r="O9" i="5" s="1"/>
  <c r="C9" i="4"/>
  <c r="O9" i="4" s="1"/>
  <c r="C9" i="2"/>
  <c r="I9" i="2" s="1"/>
  <c r="O19" i="6" l="1"/>
  <c r="I19" i="6"/>
  <c r="AA9" i="5"/>
  <c r="U9" i="5"/>
  <c r="I9" i="5"/>
  <c r="AA9" i="4"/>
  <c r="U9" i="4"/>
  <c r="I9" i="4"/>
  <c r="O9" i="2"/>
  <c r="AA9" i="2" s="1"/>
  <c r="AG9" i="2" s="1"/>
  <c r="E15" i="1"/>
  <c r="F15" i="1"/>
  <c r="G15" i="1"/>
  <c r="D15" i="1"/>
  <c r="AA19" i="6" l="1"/>
  <c r="U19" i="6"/>
  <c r="C19" i="5"/>
  <c r="AG9" i="5"/>
  <c r="C19" i="4"/>
  <c r="AG9" i="4"/>
  <c r="U9" i="2"/>
  <c r="C19" i="2"/>
  <c r="I19" i="2" s="1"/>
  <c r="C29" i="6" l="1"/>
  <c r="AG19" i="6"/>
  <c r="O19" i="5"/>
  <c r="I19" i="5"/>
  <c r="I19" i="4"/>
  <c r="O19" i="4"/>
  <c r="O19" i="2"/>
  <c r="O29" i="6" l="1"/>
  <c r="I29" i="6"/>
  <c r="U19" i="5"/>
  <c r="AA19" i="5"/>
  <c r="U19" i="4"/>
  <c r="AA19" i="4"/>
  <c r="U19" i="2"/>
  <c r="AA19" i="2"/>
  <c r="AA29" i="6" l="1"/>
  <c r="U29" i="6"/>
  <c r="C29" i="5"/>
  <c r="AG19" i="5"/>
  <c r="C29" i="4"/>
  <c r="AG19" i="4"/>
  <c r="AG19" i="2"/>
  <c r="C29" i="2"/>
  <c r="AG29" i="6" l="1"/>
  <c r="C39" i="6"/>
  <c r="O29" i="5"/>
  <c r="I29" i="5"/>
  <c r="O29" i="4"/>
  <c r="I29" i="4"/>
  <c r="O29" i="2"/>
  <c r="I29" i="2"/>
  <c r="O39" i="6" l="1"/>
  <c r="I39" i="6"/>
  <c r="AA29" i="5"/>
  <c r="U29" i="5"/>
  <c r="AA29" i="4"/>
  <c r="U29" i="4"/>
  <c r="AA29" i="2"/>
  <c r="U29" i="2"/>
  <c r="U39" i="6" l="1"/>
  <c r="AA39" i="6"/>
  <c r="AG39" i="6" s="1"/>
  <c r="C39" i="5"/>
  <c r="AG29" i="5"/>
  <c r="C39" i="4"/>
  <c r="AG29" i="4"/>
  <c r="AG29" i="2"/>
  <c r="C39" i="2"/>
  <c r="O39" i="5" l="1"/>
  <c r="I39" i="5"/>
  <c r="O39" i="4"/>
  <c r="I39" i="4"/>
  <c r="O39" i="2"/>
  <c r="I39" i="2"/>
  <c r="AA39" i="5" l="1"/>
  <c r="AG39" i="5" s="1"/>
  <c r="U39" i="5"/>
  <c r="AA39" i="4"/>
  <c r="AG39" i="4" s="1"/>
  <c r="U39" i="4"/>
  <c r="AA39" i="2"/>
  <c r="AG39" i="2" s="1"/>
  <c r="U39" i="2"/>
</calcChain>
</file>

<file path=xl/sharedStrings.xml><?xml version="1.0" encoding="utf-8"?>
<sst xmlns="http://schemas.openxmlformats.org/spreadsheetml/2006/main" count="357" uniqueCount="139">
  <si>
    <t>テクニカル</t>
    <phoneticPr fontId="2"/>
  </si>
  <si>
    <t>役者</t>
    <rPh sb="0" eb="2">
      <t>ヤクシャ</t>
    </rPh>
    <phoneticPr fontId="2"/>
  </si>
  <si>
    <t>河元ケンヂ</t>
    <rPh sb="0" eb="2">
      <t>カワモト</t>
    </rPh>
    <phoneticPr fontId="2"/>
  </si>
  <si>
    <t>橘</t>
    <rPh sb="0" eb="1">
      <t>タチバナ</t>
    </rPh>
    <phoneticPr fontId="2"/>
  </si>
  <si>
    <t>豊 ゆうみ</t>
    <rPh sb="0" eb="1">
      <t>ユタカ</t>
    </rPh>
    <phoneticPr fontId="2"/>
  </si>
  <si>
    <t>ベル</t>
    <phoneticPr fontId="2"/>
  </si>
  <si>
    <t>真嶋 秀典</t>
    <rPh sb="0" eb="2">
      <t>マジマ</t>
    </rPh>
    <rPh sb="3" eb="5">
      <t>ヒデノリ</t>
    </rPh>
    <phoneticPr fontId="2"/>
  </si>
  <si>
    <t>榎村 萌音</t>
    <rPh sb="0" eb="2">
      <t>エノムラ</t>
    </rPh>
    <rPh sb="3" eb="5">
      <t>モネ</t>
    </rPh>
    <phoneticPr fontId="2"/>
  </si>
  <si>
    <t>大島 弥子</t>
    <rPh sb="0" eb="2">
      <t>オオシマ</t>
    </rPh>
    <rPh sb="3" eb="5">
      <t>ヤコ</t>
    </rPh>
    <phoneticPr fontId="2"/>
  </si>
  <si>
    <t>ゆうぞう</t>
    <phoneticPr fontId="2"/>
  </si>
  <si>
    <t>安河内 咲月</t>
    <rPh sb="0" eb="3">
      <t>ヤスコウチ</t>
    </rPh>
    <rPh sb="4" eb="6">
      <t>サツキ</t>
    </rPh>
    <phoneticPr fontId="2"/>
  </si>
  <si>
    <t>伊筑 早希</t>
    <rPh sb="0" eb="1">
      <t>イ</t>
    </rPh>
    <rPh sb="1" eb="2">
      <t>ツク</t>
    </rPh>
    <rPh sb="3" eb="5">
      <t>サキ</t>
    </rPh>
    <phoneticPr fontId="2"/>
  </si>
  <si>
    <t>演出</t>
    <rPh sb="0" eb="2">
      <t>エンシュツ</t>
    </rPh>
    <phoneticPr fontId="2"/>
  </si>
  <si>
    <t>舞台監督</t>
    <rPh sb="0" eb="4">
      <t>ブタイカントク</t>
    </rPh>
    <phoneticPr fontId="2"/>
  </si>
  <si>
    <t>舞台美術</t>
    <rPh sb="0" eb="4">
      <t>ブタイビジュツ</t>
    </rPh>
    <phoneticPr fontId="2"/>
  </si>
  <si>
    <t>照明</t>
    <rPh sb="0" eb="2">
      <t>ショウメイ</t>
    </rPh>
    <phoneticPr fontId="2"/>
  </si>
  <si>
    <t>演出補佐</t>
    <rPh sb="0" eb="2">
      <t>エンシュツ</t>
    </rPh>
    <rPh sb="2" eb="4">
      <t>ホサ</t>
    </rPh>
    <phoneticPr fontId="2"/>
  </si>
  <si>
    <t>音響</t>
    <rPh sb="0" eb="2">
      <t>オンキョウ</t>
    </rPh>
    <phoneticPr fontId="2"/>
  </si>
  <si>
    <t>衣装</t>
    <rPh sb="0" eb="2">
      <t>イショウ</t>
    </rPh>
    <phoneticPr fontId="2"/>
  </si>
  <si>
    <t>小道具</t>
    <rPh sb="0" eb="3">
      <t>コドウグ</t>
    </rPh>
    <phoneticPr fontId="2"/>
  </si>
  <si>
    <t>制作</t>
    <rPh sb="0" eb="2">
      <t>セイサク</t>
    </rPh>
    <phoneticPr fontId="2"/>
  </si>
  <si>
    <t>宣伝美術</t>
    <rPh sb="0" eb="4">
      <t>センデンビジュツ</t>
    </rPh>
    <phoneticPr fontId="2"/>
  </si>
  <si>
    <t>丹波橋あかね</t>
    <rPh sb="0" eb="3">
      <t>タンババシ</t>
    </rPh>
    <phoneticPr fontId="2"/>
  </si>
  <si>
    <t>蒼樹とも</t>
    <rPh sb="0" eb="2">
      <t>アオキ</t>
    </rPh>
    <phoneticPr fontId="2"/>
  </si>
  <si>
    <t>てんま1/2</t>
    <phoneticPr fontId="2"/>
  </si>
  <si>
    <t>菅原 三花</t>
    <rPh sb="0" eb="2">
      <t>スガワラ</t>
    </rPh>
    <rPh sb="3" eb="4">
      <t>サン</t>
    </rPh>
    <rPh sb="4" eb="5">
      <t>ハナ</t>
    </rPh>
    <phoneticPr fontId="2"/>
  </si>
  <si>
    <t>いろ</t>
    <phoneticPr fontId="2"/>
  </si>
  <si>
    <t>廣瀬雅</t>
    <rPh sb="0" eb="2">
      <t>ヒロセ</t>
    </rPh>
    <rPh sb="2" eb="3">
      <t>ミヤビ</t>
    </rPh>
    <phoneticPr fontId="2"/>
  </si>
  <si>
    <t>松尾明</t>
    <rPh sb="0" eb="2">
      <t>マツオ</t>
    </rPh>
    <rPh sb="2" eb="3">
      <t>アカ</t>
    </rPh>
    <phoneticPr fontId="2"/>
  </si>
  <si>
    <t>〇</t>
    <phoneticPr fontId="2"/>
  </si>
  <si>
    <t>×</t>
    <phoneticPr fontId="2"/>
  </si>
  <si>
    <t>19～</t>
    <phoneticPr fontId="2"/>
  </si>
  <si>
    <t>14～</t>
    <phoneticPr fontId="2"/>
  </si>
  <si>
    <t>18～</t>
    <phoneticPr fontId="2"/>
  </si>
  <si>
    <t>要調整
18-19～</t>
    <rPh sb="0" eb="3">
      <t>ヨウチョウセイ</t>
    </rPh>
    <phoneticPr fontId="2"/>
  </si>
  <si>
    <t>13～</t>
    <phoneticPr fontId="2"/>
  </si>
  <si>
    <t>18:30～</t>
    <phoneticPr fontId="2"/>
  </si>
  <si>
    <t>頑張ったら12/12（金）13:00〜も可能かも</t>
    <rPh sb="0" eb="2">
      <t>ガンバ</t>
    </rPh>
    <rPh sb="20" eb="22">
      <t>カノウ</t>
    </rPh>
    <phoneticPr fontId="2"/>
  </si>
  <si>
    <t>舞台</t>
    <rPh sb="0" eb="2">
      <t>ブタイ</t>
    </rPh>
    <phoneticPr fontId="2"/>
  </si>
  <si>
    <t>人員</t>
    <rPh sb="0" eb="2">
      <t>ジンイン</t>
    </rPh>
    <phoneticPr fontId="2"/>
  </si>
  <si>
    <t>団体名</t>
    <rPh sb="0" eb="3">
      <t>ダンタイメイ</t>
    </rPh>
    <phoneticPr fontId="2"/>
  </si>
  <si>
    <r>
      <t>爆劇戦線</t>
    </r>
    <r>
      <rPr>
        <sz val="11"/>
        <color theme="1"/>
        <rFont val="Segoe UI Symbol"/>
        <family val="2"/>
      </rPr>
      <t>⚡</t>
    </r>
    <r>
      <rPr>
        <sz val="11"/>
        <color theme="1"/>
        <rFont val="Yu Gothic"/>
        <family val="2"/>
        <scheme val="minor"/>
      </rPr>
      <t>和田謙二</t>
    </r>
    <rPh sb="0" eb="1">
      <t>バク</t>
    </rPh>
    <rPh sb="1" eb="2">
      <t>ゲキ</t>
    </rPh>
    <rPh sb="2" eb="4">
      <t>センセン</t>
    </rPh>
    <rPh sb="5" eb="7">
      <t>ワダ</t>
    </rPh>
    <rPh sb="7" eb="9">
      <t>ケンジ</t>
    </rPh>
    <phoneticPr fontId="2"/>
  </si>
  <si>
    <t>公演名</t>
    <rPh sb="0" eb="3">
      <t>コウエンメイ</t>
    </rPh>
    <phoneticPr fontId="2"/>
  </si>
  <si>
    <t>激突！ヒーローVS魔法少女</t>
    <rPh sb="0" eb="2">
      <t>ゲキトツ</t>
    </rPh>
    <rPh sb="9" eb="13">
      <t>マホウショウジョ</t>
    </rPh>
    <phoneticPr fontId="2"/>
  </si>
  <si>
    <t>小屋入り期間</t>
    <rPh sb="0" eb="3">
      <t>コヤイ</t>
    </rPh>
    <rPh sb="4" eb="6">
      <t>キカン</t>
    </rPh>
    <phoneticPr fontId="2"/>
  </si>
  <si>
    <t>公演期間</t>
    <rPh sb="0" eb="4">
      <t>コウエンキカン</t>
    </rPh>
    <phoneticPr fontId="2"/>
  </si>
  <si>
    <t>公演設定</t>
    <rPh sb="0" eb="4">
      <t>コウエンセッテイ</t>
    </rPh>
    <phoneticPr fontId="2"/>
  </si>
  <si>
    <t>12/11（木） ～ 12/14（日）</t>
    <rPh sb="6" eb="7">
      <t>キ</t>
    </rPh>
    <rPh sb="17" eb="18">
      <t>ニチ</t>
    </rPh>
    <phoneticPr fontId="2"/>
  </si>
  <si>
    <t>12/13（土） ～ 12/14（日）</t>
    <rPh sb="6" eb="7">
      <t>ツチ</t>
    </rPh>
    <rPh sb="17" eb="18">
      <t>ニチ</t>
    </rPh>
    <phoneticPr fontId="2"/>
  </si>
  <si>
    <t>1st : 12/13（土）13:00 / 2st : 12/13（土）17:00</t>
    <rPh sb="12" eb="13">
      <t>ツチ</t>
    </rPh>
    <rPh sb="34" eb="35">
      <t>ツチ</t>
    </rPh>
    <phoneticPr fontId="2"/>
  </si>
  <si>
    <t>3st : 12/14（日）13:00 / 4st : 12/14（日）18:00</t>
    <rPh sb="12" eb="13">
      <t>ニチ</t>
    </rPh>
    <phoneticPr fontId="2"/>
  </si>
  <si>
    <t>緊急連絡先</t>
    <rPh sb="0" eb="4">
      <t>キンキュウレンラク</t>
    </rPh>
    <rPh sb="4" eb="5">
      <t>サキ</t>
    </rPh>
    <phoneticPr fontId="2"/>
  </si>
  <si>
    <t>てんま1/2（企画責任者）</t>
    <rPh sb="7" eb="9">
      <t>キカク</t>
    </rPh>
    <rPh sb="9" eb="12">
      <t>セキニンシャ</t>
    </rPh>
    <phoneticPr fontId="2"/>
  </si>
  <si>
    <t>蒼樹とも（舞台監督）</t>
    <rPh sb="0" eb="2">
      <t>アオキ</t>
    </rPh>
    <rPh sb="5" eb="9">
      <t>ブタイカントク</t>
    </rPh>
    <phoneticPr fontId="2"/>
  </si>
  <si>
    <t>080-6168-0244</t>
    <phoneticPr fontId="2"/>
  </si>
  <si>
    <t>090-1711-3264</t>
    <phoneticPr fontId="2"/>
  </si>
  <si>
    <t>12/11（木）</t>
    <rPh sb="6" eb="7">
      <t>モク</t>
    </rPh>
    <phoneticPr fontId="2"/>
  </si>
  <si>
    <t>舞台平台設営
パネル建込（釘止、番線）</t>
    <rPh sb="0" eb="4">
      <t>ブタイヒラダイ</t>
    </rPh>
    <rPh sb="4" eb="6">
      <t>セツエイ</t>
    </rPh>
    <rPh sb="10" eb="11">
      <t>タ</t>
    </rPh>
    <rPh sb="11" eb="12">
      <t>コ</t>
    </rPh>
    <rPh sb="13" eb="15">
      <t>クギト</t>
    </rPh>
    <rPh sb="16" eb="18">
      <t>バンセン</t>
    </rPh>
    <phoneticPr fontId="2"/>
  </si>
  <si>
    <t>黒幕吊
平台蹴込設営（養パネル）</t>
    <rPh sb="0" eb="2">
      <t>クロマク</t>
    </rPh>
    <rPh sb="2" eb="3">
      <t>ツリ</t>
    </rPh>
    <rPh sb="4" eb="6">
      <t>ヒラダイ</t>
    </rPh>
    <rPh sb="6" eb="7">
      <t>ケ</t>
    </rPh>
    <rPh sb="7" eb="8">
      <t>コ</t>
    </rPh>
    <rPh sb="8" eb="10">
      <t>セツエイ</t>
    </rPh>
    <rPh sb="11" eb="12">
      <t>ヨウ</t>
    </rPh>
    <phoneticPr fontId="2"/>
  </si>
  <si>
    <t>休憩</t>
    <rPh sb="0" eb="2">
      <t>キュウケイ</t>
    </rPh>
    <phoneticPr fontId="2"/>
  </si>
  <si>
    <t>灯体吊り込み</t>
    <phoneticPr fontId="2"/>
  </si>
  <si>
    <t>搬入 / 舞台場ミリ
舞台平台設営</t>
    <rPh sb="11" eb="15">
      <t>ブタイヒラダイ</t>
    </rPh>
    <rPh sb="15" eb="17">
      <t>セツエイ</t>
    </rPh>
    <phoneticPr fontId="2"/>
  </si>
  <si>
    <t>箱設置 / 装飾付与
微調整</t>
    <rPh sb="0" eb="3">
      <t>ハコセッチ</t>
    </rPh>
    <rPh sb="6" eb="8">
      <t>ソウショク</t>
    </rPh>
    <rPh sb="8" eb="10">
      <t>フヨ</t>
    </rPh>
    <rPh sb="11" eb="14">
      <t>ビチョウセイ</t>
    </rPh>
    <phoneticPr fontId="2"/>
  </si>
  <si>
    <t>舞台雑務 / 
制作・客席準備</t>
    <rPh sb="0" eb="2">
      <t>ブタイ</t>
    </rPh>
    <rPh sb="2" eb="4">
      <t>ザツム</t>
    </rPh>
    <rPh sb="8" eb="10">
      <t>セイサク</t>
    </rPh>
    <rPh sb="11" eb="13">
      <t>キャクセキ</t>
    </rPh>
    <rPh sb="13" eb="15">
      <t>ジュンビ</t>
    </rPh>
    <phoneticPr fontId="2"/>
  </si>
  <si>
    <t>灯体準備 / ゼラ仕込み
灯体吊り込み</t>
    <phoneticPr fontId="2"/>
  </si>
  <si>
    <t>灯体吊り込み
結線 / シュート</t>
    <rPh sb="0" eb="2">
      <t>トウタイ</t>
    </rPh>
    <rPh sb="2" eb="3">
      <t>ツ</t>
    </rPh>
    <rPh sb="4" eb="5">
      <t>コ</t>
    </rPh>
    <rPh sb="7" eb="9">
      <t>ケッセン</t>
    </rPh>
    <phoneticPr fontId="2"/>
  </si>
  <si>
    <t>シュート調整</t>
    <rPh sb="4" eb="6">
      <t>チョウセイ</t>
    </rPh>
    <phoneticPr fontId="2"/>
  </si>
  <si>
    <t>音響準備 / 卓準備</t>
    <rPh sb="0" eb="2">
      <t>オンキョウ</t>
    </rPh>
    <rPh sb="2" eb="4">
      <t>ジュンビ</t>
    </rPh>
    <rPh sb="7" eb="8">
      <t>タク</t>
    </rPh>
    <rPh sb="8" eb="10">
      <t>ジュンビ</t>
    </rPh>
    <phoneticPr fontId="2"/>
  </si>
  <si>
    <t>サウンドチェック</t>
    <phoneticPr fontId="2"/>
  </si>
  <si>
    <t>雑務</t>
    <rPh sb="0" eb="2">
      <t>ザツム</t>
    </rPh>
    <phoneticPr fontId="2"/>
  </si>
  <si>
    <t>暗転チェック
卓準備</t>
    <rPh sb="0" eb="2">
      <t>アンテン</t>
    </rPh>
    <phoneticPr fontId="2"/>
  </si>
  <si>
    <t>絵作り / 卓仕込み</t>
    <rPh sb="0" eb="2">
      <t>エヅク</t>
    </rPh>
    <rPh sb="6" eb="7">
      <t>タク</t>
    </rPh>
    <rPh sb="7" eb="9">
      <t>シコ</t>
    </rPh>
    <phoneticPr fontId="2"/>
  </si>
  <si>
    <t>場当たり準備</t>
    <rPh sb="0" eb="2">
      <t>バア</t>
    </rPh>
    <rPh sb="4" eb="6">
      <t>ジュンビ</t>
    </rPh>
    <phoneticPr fontId="2"/>
  </si>
  <si>
    <t>18-19～</t>
    <phoneticPr fontId="2"/>
  </si>
  <si>
    <t>動線確認・蓄光設置
場当たり</t>
    <rPh sb="0" eb="2">
      <t>ドウセン</t>
    </rPh>
    <rPh sb="2" eb="4">
      <t>カクニン</t>
    </rPh>
    <rPh sb="5" eb="7">
      <t>チッコウ</t>
    </rPh>
    <rPh sb="7" eb="9">
      <t>セッチ</t>
    </rPh>
    <rPh sb="10" eb="12">
      <t>バア</t>
    </rPh>
    <phoneticPr fontId="2"/>
  </si>
  <si>
    <t>場当たり</t>
    <rPh sb="0" eb="2">
      <t>バア</t>
    </rPh>
    <phoneticPr fontId="2"/>
  </si>
  <si>
    <t>場当たり
撤収</t>
    <rPh sb="0" eb="2">
      <t>バア</t>
    </rPh>
    <rPh sb="5" eb="7">
      <t>テッシュウ</t>
    </rPh>
    <phoneticPr fontId="2"/>
  </si>
  <si>
    <t>12/12（金）</t>
    <rPh sb="6" eb="7">
      <t>キン</t>
    </rPh>
    <phoneticPr fontId="2"/>
  </si>
  <si>
    <t>音照</t>
    <rPh sb="0" eb="1">
      <t>オト</t>
    </rPh>
    <rPh sb="1" eb="2">
      <t>ショウ</t>
    </rPh>
    <phoneticPr fontId="2"/>
  </si>
  <si>
    <t>スタッフ</t>
    <phoneticPr fontId="2"/>
  </si>
  <si>
    <t>舞台手直し
制作作業（挟込・パンフ・客席等）</t>
    <rPh sb="0" eb="4">
      <t>ブタイテナオ</t>
    </rPh>
    <rPh sb="6" eb="8">
      <t>セイサク</t>
    </rPh>
    <rPh sb="8" eb="10">
      <t>サギョウ</t>
    </rPh>
    <rPh sb="11" eb="12">
      <t>ハサ</t>
    </rPh>
    <rPh sb="12" eb="13">
      <t>コ</t>
    </rPh>
    <rPh sb="18" eb="20">
      <t>キャクセキ</t>
    </rPh>
    <rPh sb="20" eb="21">
      <t>トウ</t>
    </rPh>
    <phoneticPr fontId="2"/>
  </si>
  <si>
    <t>【役者】（橘、真嶋、大島、安河内、伊筑）
【スタッフ】てんま、蒼樹、菅原、松尾</t>
    <phoneticPr fontId="2"/>
  </si>
  <si>
    <t>調整・場当たり準備</t>
    <rPh sb="0" eb="2">
      <t>チョウセイ</t>
    </rPh>
    <rPh sb="3" eb="5">
      <t>バア</t>
    </rPh>
    <rPh sb="7" eb="9">
      <t>ジュンビ</t>
    </rPh>
    <phoneticPr fontId="2"/>
  </si>
  <si>
    <t>休憩・ゲネ準備
ゲネ前全体集合（16:50）</t>
    <rPh sb="10" eb="11">
      <t>マエ</t>
    </rPh>
    <rPh sb="11" eb="13">
      <t>ゼンタイ</t>
    </rPh>
    <rPh sb="13" eb="15">
      <t>シュウゴウ</t>
    </rPh>
    <phoneticPr fontId="2"/>
  </si>
  <si>
    <t>ゲネ（2h）</t>
    <phoneticPr fontId="2"/>
  </si>
  <si>
    <t>雑務（撮影準備等）</t>
    <rPh sb="0" eb="2">
      <t>ザツム</t>
    </rPh>
    <rPh sb="3" eb="5">
      <t>サツエイ</t>
    </rPh>
    <rPh sb="5" eb="7">
      <t>ジュンビ</t>
    </rPh>
    <rPh sb="7" eb="8">
      <t>トウ</t>
    </rPh>
    <phoneticPr fontId="2"/>
  </si>
  <si>
    <t>トラシュ</t>
    <phoneticPr fontId="2"/>
  </si>
  <si>
    <t>返し練
撤収</t>
    <rPh sb="0" eb="1">
      <t>カエ</t>
    </rPh>
    <rPh sb="2" eb="3">
      <t>ネリ</t>
    </rPh>
    <rPh sb="4" eb="6">
      <t>テッシュウ</t>
    </rPh>
    <phoneticPr fontId="2"/>
  </si>
  <si>
    <t>雑務
撤収</t>
    <rPh sb="0" eb="2">
      <t>ザツム</t>
    </rPh>
    <rPh sb="3" eb="5">
      <t>テッシュウ</t>
    </rPh>
    <phoneticPr fontId="2"/>
  </si>
  <si>
    <t>12/13（土）</t>
    <rPh sb="6" eb="7">
      <t>ツチ</t>
    </rPh>
    <phoneticPr fontId="2"/>
  </si>
  <si>
    <t>アップ・稽古・本番前準備等</t>
    <rPh sb="4" eb="6">
      <t>ケイコ</t>
    </rPh>
    <rPh sb="7" eb="10">
      <t>ホンバンマエ</t>
    </rPh>
    <rPh sb="10" eb="13">
      <t>ジュンビトウ</t>
    </rPh>
    <phoneticPr fontId="2"/>
  </si>
  <si>
    <t>雑務（本番前準備）</t>
    <rPh sb="0" eb="2">
      <t>ザツム</t>
    </rPh>
    <rPh sb="3" eb="6">
      <t>ホンバンマエ</t>
    </rPh>
    <rPh sb="6" eb="8">
      <t>ジュンビ</t>
    </rPh>
    <phoneticPr fontId="2"/>
  </si>
  <si>
    <t>1st（2h）</t>
    <phoneticPr fontId="2"/>
  </si>
  <si>
    <t>休憩・本番準備
本番前集合（12:20）</t>
    <phoneticPr fontId="2"/>
  </si>
  <si>
    <t>1st 客入れ（30m）</t>
    <rPh sb="4" eb="6">
      <t>キャクイ</t>
    </rPh>
    <phoneticPr fontId="2"/>
  </si>
  <si>
    <t>休憩・本番準備</t>
    <rPh sb="0" eb="2">
      <t>キュウケイ</t>
    </rPh>
    <rPh sb="3" eb="7">
      <t>ホンバンジュンビ</t>
    </rPh>
    <phoneticPr fontId="2"/>
  </si>
  <si>
    <t>2st（2h）</t>
    <phoneticPr fontId="2"/>
  </si>
  <si>
    <t>撤収</t>
    <rPh sb="0" eb="2">
      <t>テッシュウ</t>
    </rPh>
    <phoneticPr fontId="2"/>
  </si>
  <si>
    <t>12/14（土）</t>
    <rPh sb="6" eb="7">
      <t>ツチ</t>
    </rPh>
    <phoneticPr fontId="2"/>
  </si>
  <si>
    <t>3st 客入れ（30m）</t>
    <rPh sb="4" eb="6">
      <t>キャクイ</t>
    </rPh>
    <phoneticPr fontId="2"/>
  </si>
  <si>
    <t>2st 客入れ（30m）</t>
    <phoneticPr fontId="2"/>
  </si>
  <si>
    <t>返し練等</t>
    <phoneticPr fontId="2"/>
  </si>
  <si>
    <t>雑務</t>
    <phoneticPr fontId="2"/>
  </si>
  <si>
    <t>3st（2h）</t>
    <phoneticPr fontId="2"/>
  </si>
  <si>
    <t>返し練等</t>
    <rPh sb="0" eb="1">
      <t>カエ</t>
    </rPh>
    <rPh sb="2" eb="3">
      <t>ネリ</t>
    </rPh>
    <rPh sb="3" eb="4">
      <t>トウ</t>
    </rPh>
    <phoneticPr fontId="2"/>
  </si>
  <si>
    <t>全体写真
返し等</t>
    <rPh sb="0" eb="4">
      <t>ゼンタイシャシン</t>
    </rPh>
    <rPh sb="5" eb="6">
      <t>カエ</t>
    </rPh>
    <rPh sb="7" eb="8">
      <t>トウ</t>
    </rPh>
    <phoneticPr fontId="2"/>
  </si>
  <si>
    <t>4st 客入れ（30m）</t>
    <rPh sb="4" eb="6">
      <t>キャクイ</t>
    </rPh>
    <phoneticPr fontId="2"/>
  </si>
  <si>
    <t>4st（2h）</t>
    <phoneticPr fontId="2"/>
  </si>
  <si>
    <t>バラシ</t>
    <phoneticPr fontId="2"/>
  </si>
  <si>
    <t>最終は何時でも大丈夫</t>
    <rPh sb="0" eb="2">
      <t>サイシュウ</t>
    </rPh>
    <rPh sb="3" eb="5">
      <t>ナンジ</t>
    </rPh>
    <rPh sb="7" eb="10">
      <t>ダイジョウブ</t>
    </rPh>
    <phoneticPr fontId="2"/>
  </si>
  <si>
    <t>14:30～</t>
    <phoneticPr fontId="2"/>
  </si>
  <si>
    <t>【スタッフ】てんま、蒼樹、雅
【役者】真嶋、安河内、伊筑</t>
    <phoneticPr fontId="2"/>
  </si>
  <si>
    <r>
      <t xml:space="preserve">【スタッフ】てんま、蒼樹、雅、
</t>
    </r>
    <r>
      <rPr>
        <sz val="8"/>
        <color rgb="FFFF0000"/>
        <rFont val="Yu Gothic"/>
        <family val="3"/>
        <charset val="128"/>
        <scheme val="minor"/>
      </rPr>
      <t>松尾</t>
    </r>
    <r>
      <rPr>
        <sz val="8"/>
        <color theme="1"/>
        <rFont val="Yu Gothic"/>
        <family val="3"/>
        <charset val="128"/>
        <scheme val="minor"/>
      </rPr>
      <t xml:space="preserve">
【役者】真嶋、安河内、伊筑</t>
    </r>
    <rPh sb="16" eb="18">
      <t>マツオ</t>
    </rPh>
    <phoneticPr fontId="2"/>
  </si>
  <si>
    <r>
      <t>【スタッフ】てんま、蒼樹、雅、
松尾、</t>
    </r>
    <r>
      <rPr>
        <sz val="8"/>
        <color rgb="FFFF0000"/>
        <rFont val="Yu Gothic"/>
        <family val="3"/>
        <charset val="128"/>
        <scheme val="minor"/>
      </rPr>
      <t>菅原</t>
    </r>
    <r>
      <rPr>
        <sz val="8"/>
        <color theme="1"/>
        <rFont val="Yu Gothic"/>
        <family val="3"/>
        <charset val="128"/>
        <scheme val="minor"/>
      </rPr>
      <t xml:space="preserve">
【役者】真嶋、安河内、伊筑</t>
    </r>
    <rPh sb="19" eb="21">
      <t>スガワラ</t>
    </rPh>
    <phoneticPr fontId="2"/>
  </si>
  <si>
    <r>
      <t>【スタッフ】てんま、蒼樹、雅、
松尾、菅原、</t>
    </r>
    <r>
      <rPr>
        <sz val="9"/>
        <color rgb="FFFF0000"/>
        <rFont val="Yu Gothic"/>
        <family val="3"/>
        <charset val="128"/>
        <scheme val="minor"/>
      </rPr>
      <t>いろ</t>
    </r>
    <r>
      <rPr>
        <sz val="9"/>
        <color theme="1"/>
        <rFont val="Yu Gothic"/>
        <family val="3"/>
        <charset val="128"/>
        <scheme val="minor"/>
      </rPr>
      <t xml:space="preserve">
【役者】真嶋、安河内、伊筑</t>
    </r>
    <phoneticPr fontId="2"/>
  </si>
  <si>
    <r>
      <t>【スタッフ】てんま、蒼樹、雅、
松尾、菅原、いろ
【役者】真嶋、安河内、伊筑、
榎村、ベル、</t>
    </r>
    <r>
      <rPr>
        <sz val="8"/>
        <color rgb="FFFF0000"/>
        <rFont val="Yu Gothic"/>
        <family val="3"/>
        <charset val="128"/>
        <scheme val="minor"/>
      </rPr>
      <t>豊</t>
    </r>
    <phoneticPr fontId="2"/>
  </si>
  <si>
    <r>
      <t xml:space="preserve">【スタッフ】てんま、蒼樹、雅、
松尾、菅原、いろ
【役者】真嶋、安河内、伊筑、
</t>
    </r>
    <r>
      <rPr>
        <sz val="8"/>
        <color rgb="FFFF0000"/>
        <rFont val="Yu Gothic"/>
        <family val="3"/>
        <charset val="128"/>
        <scheme val="minor"/>
      </rPr>
      <t>榎村、ベル</t>
    </r>
    <phoneticPr fontId="2"/>
  </si>
  <si>
    <r>
      <t>【スタッフ】てんま、蒼樹、雅、
松尾、菅原、いろ、</t>
    </r>
    <r>
      <rPr>
        <sz val="8"/>
        <color rgb="FFFF0000"/>
        <rFont val="Yu Gothic"/>
        <family val="3"/>
        <charset val="128"/>
        <scheme val="minor"/>
      </rPr>
      <t>丹波橋</t>
    </r>
    <r>
      <rPr>
        <sz val="8"/>
        <rFont val="Yu Gothic"/>
        <family val="3"/>
        <charset val="128"/>
        <scheme val="minor"/>
      </rPr>
      <t xml:space="preserve">
【役者】真嶋、安河内、伊筑、
榎村、ベル、豊、</t>
    </r>
    <r>
      <rPr>
        <sz val="8"/>
        <color rgb="FFFF0000"/>
        <rFont val="Yu Gothic"/>
        <family val="3"/>
        <charset val="128"/>
        <scheme val="minor"/>
      </rPr>
      <t>ゆうぞう</t>
    </r>
    <phoneticPr fontId="2"/>
  </si>
  <si>
    <t>【スタッフ】てんま、蒼樹、雅、
松尾、菅原、いろ、丹波橋
【役者】真嶋、安河内、伊筑、
榎村、ベル、豊、ゆうぞう</t>
    <phoneticPr fontId="2"/>
  </si>
  <si>
    <r>
      <t>【役者】橘、真嶋、大島、安河内、伊筑、</t>
    </r>
    <r>
      <rPr>
        <sz val="9"/>
        <color rgb="FFFF0000"/>
        <rFont val="Yu Gothic"/>
        <family val="3"/>
        <charset val="128"/>
        <scheme val="minor"/>
      </rPr>
      <t>豊、ベル、萌音、
ゆうぞう</t>
    </r>
    <r>
      <rPr>
        <sz val="9"/>
        <color theme="1"/>
        <rFont val="Yu Gothic"/>
        <family val="3"/>
        <charset val="128"/>
        <scheme val="minor"/>
      </rPr>
      <t xml:space="preserve">
【スタッフ】てんま、蒼樹、菅原、松尾、いろ、雅</t>
    </r>
    <rPh sb="55" eb="56">
      <t>ミヤビ</t>
    </rPh>
    <phoneticPr fontId="2"/>
  </si>
  <si>
    <t>【役者】橘、真嶋、大島、安河内、伊筑、豊、ベル、萌音、
ゆうぞう
【スタッフ】てんま、蒼樹、菅原、松尾、いろ、雅</t>
    <phoneticPr fontId="2"/>
  </si>
  <si>
    <t>【役者】橘、真嶋、大島、安河内、伊筑、豊、ベル、萌音、
ゆうぞう
【スタッフ】てんま、蒼樹、菅原、松尾、いろ、雅、丹波橋</t>
    <phoneticPr fontId="2"/>
  </si>
  <si>
    <r>
      <t>【役者】橘、真嶋、大島、安河内、伊筑、豊、ベル、萌音、
ゆうぞう
【スタッフ】てんま、蒼樹、菅原、松尾、いろ、雅、</t>
    </r>
    <r>
      <rPr>
        <sz val="8"/>
        <color rgb="FFFF0000"/>
        <rFont val="Yu Gothic"/>
        <family val="3"/>
        <charset val="128"/>
        <scheme val="minor"/>
      </rPr>
      <t>丹波橋</t>
    </r>
    <rPh sb="57" eb="60">
      <t>タンババシ</t>
    </rPh>
    <phoneticPr fontId="2"/>
  </si>
  <si>
    <t>【役者】橘、真嶋、大島、安河内、伊筑、豊、ベル、萌音、
ゆうぞう
【スタッフ】てんま、蒼樹、菅原、松尾、いろ、雅</t>
    <rPh sb="55" eb="56">
      <t>ミヤビ</t>
    </rPh>
    <phoneticPr fontId="2"/>
  </si>
  <si>
    <t>【役者】橘、真嶋、大島、安河内、伊筑、豊、ベル、萌音、
ゆうぞう
【スタッフ】てんま、蒼樹、菅原、松尾、丹波橋、いろ、雅</t>
    <rPh sb="52" eb="55">
      <t>タンババシ</t>
    </rPh>
    <phoneticPr fontId="2"/>
  </si>
  <si>
    <t>【役者】橘、真嶋、大島、安河内、伊筑、豊、ベル、萌音、
ゆうぞう
【スタッフ】てんま、蒼樹、菅原、松尾、丹波橋、いろ、雅</t>
    <phoneticPr fontId="2"/>
  </si>
  <si>
    <t>終電に間に合う23時頃まで対応可能</t>
    <rPh sb="13" eb="17">
      <t>タイオウカノウ</t>
    </rPh>
    <phoneticPr fontId="2"/>
  </si>
  <si>
    <t>終電に間に合う23時頃まで対応可能</t>
    <phoneticPr fontId="2"/>
  </si>
  <si>
    <t>最大23時</t>
    <rPh sb="0" eb="2">
      <t>サイダイ</t>
    </rPh>
    <rPh sb="4" eb="5">
      <t>ジ</t>
    </rPh>
    <phoneticPr fontId="2"/>
  </si>
  <si>
    <t>22:00までがありがたいのですが、最長22:30くらい</t>
    <phoneticPr fontId="2"/>
  </si>
  <si>
    <t>できれば21時まで(無理なら22時まで)
12日→22時まで</t>
    <phoneticPr fontId="2"/>
  </si>
  <si>
    <t>なんじかんでもだいじようぶ</t>
    <phoneticPr fontId="2"/>
  </si>
  <si>
    <t>21時半までに終われるようであればありがたくはあるのですが、無理そうであれば居残ろうと思います。</t>
    <rPh sb="2" eb="4">
      <t>ジハン</t>
    </rPh>
    <rPh sb="7" eb="8">
      <t>オ</t>
    </rPh>
    <rPh sb="30" eb="32">
      <t>ムリ</t>
    </rPh>
    <rPh sb="38" eb="40">
      <t>イノコ</t>
    </rPh>
    <rPh sb="43" eb="44">
      <t>オモ</t>
    </rPh>
    <phoneticPr fontId="2"/>
  </si>
  <si>
    <t>休憩・本番準備
本番前集合（17:20）</t>
    <rPh sb="0" eb="2">
      <t>キュウケイ</t>
    </rPh>
    <rPh sb="3" eb="7">
      <t>ホンバンジュンビ</t>
    </rPh>
    <rPh sb="8" eb="11">
      <t>ホンバンマエ</t>
    </rPh>
    <rPh sb="11" eb="13">
      <t>シュウゴウ</t>
    </rPh>
    <phoneticPr fontId="2"/>
  </si>
  <si>
    <t>休憩・本番準備
本番前集合（16:20）</t>
    <phoneticPr fontId="2"/>
  </si>
  <si>
    <t>22時まで対応可能ですが、
体力を考慮した場合は21時くらい</t>
    <phoneticPr fontId="2"/>
  </si>
  <si>
    <t>終電と体力的に21時半だと助かります、、
遅くとも22時</t>
    <phoneticPr fontId="2"/>
  </si>
  <si>
    <t>22時解散</t>
    <phoneticPr fontId="2"/>
  </si>
  <si>
    <t>22時終わりだ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</si>
</sst>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h:mm;@"/>
  </numFmts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color rgb="FFFF0000"/>
      <name val="Yu Gothic"/>
      <family val="3"/>
      <charset val="128"/>
      <scheme val="minor"/>
    </font>
    <font>
      <sz val="11"/>
      <color theme="1"/>
      <name val="Segoe UI Symbol"/>
      <family val="2"/>
    </font>
    <font>
      <sz val="10"/>
      <color theme="1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sz val="8"/>
      <color theme="1"/>
      <name val="Yu Gothic"/>
      <family val="3"/>
      <charset val="128"/>
      <scheme val="minor"/>
    </font>
    <font>
      <sz val="8"/>
      <color rgb="FFFF0000"/>
      <name val="Yu Gothic"/>
      <family val="3"/>
      <charset val="128"/>
      <scheme val="minor"/>
    </font>
    <font>
      <sz val="8"/>
      <name val="Yu Gothic"/>
      <family val="3"/>
      <charset val="128"/>
      <scheme val="minor"/>
    </font>
    <font>
      <sz val="9"/>
      <color rgb="FFFF0000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0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176" fontId="0" fillId="2" borderId="1" xfId="0" applyNumberFormat="1" applyFill="1" applyBorder="1" applyAlignment="1">
      <alignment vertical="center"/>
    </xf>
    <xf numFmtId="176" fontId="0" fillId="2" borderId="1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20" fontId="0" fillId="0" borderId="0" xfId="0" applyNumberFormat="1"/>
    <xf numFmtId="0" fontId="1" fillId="0" borderId="0" xfId="1">
      <alignment vertical="center"/>
    </xf>
    <xf numFmtId="0" fontId="10" fillId="0" borderId="9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6" fillId="0" borderId="5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0" borderId="6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0" fillId="0" borderId="26" xfId="0" applyFont="1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6" fillId="0" borderId="3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177" fontId="0" fillId="2" borderId="8" xfId="0" applyNumberFormat="1" applyFill="1" applyBorder="1" applyAlignment="1">
      <alignment horizontal="left" vertical="center"/>
    </xf>
    <xf numFmtId="177" fontId="0" fillId="2" borderId="2" xfId="0" applyNumberForma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7" fontId="0" fillId="2" borderId="5" xfId="0" applyNumberFormat="1" applyFill="1" applyBorder="1" applyAlignment="1">
      <alignment horizontal="left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0" fontId="6" fillId="3" borderId="7" xfId="0" applyFont="1" applyFill="1" applyBorder="1" applyAlignment="1">
      <alignment vertical="top" wrapText="1"/>
    </xf>
    <xf numFmtId="0" fontId="6" fillId="3" borderId="4" xfId="0" applyFont="1" applyFill="1" applyBorder="1" applyAlignment="1">
      <alignment vertical="top" wrapText="1"/>
    </xf>
    <xf numFmtId="0" fontId="6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21" xfId="0" applyFont="1" applyBorder="1" applyAlignment="1">
      <alignment vertical="top" wrapText="1"/>
    </xf>
    <xf numFmtId="0" fontId="8" fillId="0" borderId="22" xfId="0" applyFont="1" applyBorder="1" applyAlignment="1">
      <alignment vertical="top" wrapText="1"/>
    </xf>
    <xf numFmtId="0" fontId="8" fillId="0" borderId="23" xfId="0" applyFont="1" applyBorder="1" applyAlignment="1">
      <alignment vertical="top" wrapText="1"/>
    </xf>
    <xf numFmtId="0" fontId="6" fillId="0" borderId="6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left" vertical="center" shrinkToFit="1"/>
    </xf>
    <xf numFmtId="0" fontId="0" fillId="0" borderId="1" xfId="0" applyBorder="1" applyAlignment="1">
      <alignment vertical="center"/>
    </xf>
    <xf numFmtId="0" fontId="10" fillId="0" borderId="10" xfId="0" applyFont="1" applyBorder="1" applyAlignment="1">
      <alignment vertical="top" wrapText="1"/>
    </xf>
    <xf numFmtId="0" fontId="10" fillId="0" borderId="11" xfId="0" applyFont="1" applyBorder="1" applyAlignment="1">
      <alignment vertical="top" wrapText="1"/>
    </xf>
    <xf numFmtId="0" fontId="10" fillId="0" borderId="12" xfId="0" applyFont="1" applyBorder="1" applyAlignment="1">
      <alignment vertical="top" wrapText="1"/>
    </xf>
    <xf numFmtId="0" fontId="6" fillId="0" borderId="2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6" fillId="0" borderId="4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top" wrapText="1"/>
    </xf>
    <xf numFmtId="0" fontId="8" fillId="0" borderId="11" xfId="0" applyFont="1" applyBorder="1" applyAlignment="1">
      <alignment vertical="top" wrapText="1"/>
    </xf>
    <xf numFmtId="0" fontId="8" fillId="0" borderId="12" xfId="0" applyFont="1" applyBorder="1" applyAlignment="1">
      <alignment vertical="top" wrapText="1"/>
    </xf>
    <xf numFmtId="177" fontId="0" fillId="2" borderId="44" xfId="0" applyNumberFormat="1" applyFill="1" applyBorder="1" applyAlignment="1">
      <alignment horizontal="left" vertical="center"/>
    </xf>
    <xf numFmtId="0" fontId="6" fillId="0" borderId="43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20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6" fillId="0" borderId="0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4" borderId="7" xfId="0" applyFill="1" applyBorder="1" applyAlignment="1">
      <alignment horizontal="center" vertical="center"/>
    </xf>
    <xf numFmtId="0" fontId="0" fillId="4" borderId="46" xfId="0" applyFill="1" applyBorder="1" applyAlignment="1">
      <alignment horizontal="center" vertical="center"/>
    </xf>
  </cellXfs>
  <cellStyles count="2">
    <cellStyle name="標準" xfId="0" builtinId="0"/>
    <cellStyle name="標準 2" xfId="1" xr:uid="{8B983879-BD1F-4AC7-B2DA-C1AE70645B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9</xdr:row>
      <xdr:rowOff>236220</xdr:rowOff>
    </xdr:from>
    <xdr:to>
      <xdr:col>7</xdr:col>
      <xdr:colOff>266700</xdr:colOff>
      <xdr:row>9</xdr:row>
      <xdr:rowOff>243840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026D391D-525D-C0CF-D136-DD821FAF5763}"/>
            </a:ext>
          </a:extLst>
        </xdr:cNvPr>
        <xdr:cNvGrpSpPr/>
      </xdr:nvGrpSpPr>
      <xdr:grpSpPr>
        <a:xfrm>
          <a:off x="593157" y="2367895"/>
          <a:ext cx="1708965" cy="7620"/>
          <a:chOff x="853440" y="2072640"/>
          <a:chExt cx="1668780" cy="7620"/>
        </a:xfrm>
      </xdr:grpSpPr>
      <xdr:cxnSp macro="">
        <xdr:nvCxnSpPr>
          <xdr:cNvPr id="3" name="直線矢印コネクタ 2">
            <a:extLst>
              <a:ext uri="{FF2B5EF4-FFF2-40B4-BE49-F238E27FC236}">
                <a16:creationId xmlns:a16="http://schemas.microsoft.com/office/drawing/2014/main" id="{9F85CDEC-B905-B28A-0080-263FE6E0CF33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" name="直線矢印コネクタ 3">
            <a:extLst>
              <a:ext uri="{FF2B5EF4-FFF2-40B4-BE49-F238E27FC236}">
                <a16:creationId xmlns:a16="http://schemas.microsoft.com/office/drawing/2014/main" id="{9D2D6E56-43E5-3539-37BB-C5EFA1CE7B3A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</xdr:row>
      <xdr:rowOff>213360</xdr:rowOff>
    </xdr:from>
    <xdr:to>
      <xdr:col>25</xdr:col>
      <xdr:colOff>259080</xdr:colOff>
      <xdr:row>9</xdr:row>
      <xdr:rowOff>220980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82252E34-3008-4F45-8AF8-5D9FF919FC20}"/>
            </a:ext>
          </a:extLst>
        </xdr:cNvPr>
        <xdr:cNvGrpSpPr/>
      </xdr:nvGrpSpPr>
      <xdr:grpSpPr>
        <a:xfrm>
          <a:off x="5783179" y="2345035"/>
          <a:ext cx="1707441" cy="7620"/>
          <a:chOff x="853440" y="2072640"/>
          <a:chExt cx="1668780" cy="7620"/>
        </a:xfrm>
      </xdr:grpSpPr>
      <xdr:cxnSp macro="">
        <xdr:nvCxnSpPr>
          <xdr:cNvPr id="10" name="直線矢印コネクタ 9">
            <a:extLst>
              <a:ext uri="{FF2B5EF4-FFF2-40B4-BE49-F238E27FC236}">
                <a16:creationId xmlns:a16="http://schemas.microsoft.com/office/drawing/2014/main" id="{70F2B06F-15AE-4CBD-03EC-800EE976296A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直線矢印コネクタ 10">
            <a:extLst>
              <a:ext uri="{FF2B5EF4-FFF2-40B4-BE49-F238E27FC236}">
                <a16:creationId xmlns:a16="http://schemas.microsoft.com/office/drawing/2014/main" id="{903ACE0F-A23A-3145-83F7-1A2BEA2B6662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</xdr:row>
      <xdr:rowOff>205740</xdr:rowOff>
    </xdr:from>
    <xdr:to>
      <xdr:col>37</xdr:col>
      <xdr:colOff>274320</xdr:colOff>
      <xdr:row>9</xdr:row>
      <xdr:rowOff>213360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D7B28A25-DBB7-4E6C-9C2A-40D89593519B}"/>
            </a:ext>
          </a:extLst>
        </xdr:cNvPr>
        <xdr:cNvGrpSpPr/>
      </xdr:nvGrpSpPr>
      <xdr:grpSpPr>
        <a:xfrm>
          <a:off x="7515726" y="2337415"/>
          <a:ext cx="3456753" cy="7620"/>
          <a:chOff x="853440" y="2072640"/>
          <a:chExt cx="3375660" cy="7620"/>
        </a:xfrm>
      </xdr:grpSpPr>
      <xdr:cxnSp macro="">
        <xdr:nvCxnSpPr>
          <xdr:cNvPr id="13" name="直線矢印コネクタ 12">
            <a:extLst>
              <a:ext uri="{FF2B5EF4-FFF2-40B4-BE49-F238E27FC236}">
                <a16:creationId xmlns:a16="http://schemas.microsoft.com/office/drawing/2014/main" id="{B1F3D8F4-06E8-C3C7-B274-6991D3FEB91C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直線矢印コネクタ 13">
            <a:extLst>
              <a:ext uri="{FF2B5EF4-FFF2-40B4-BE49-F238E27FC236}">
                <a16:creationId xmlns:a16="http://schemas.microsoft.com/office/drawing/2014/main" id="{4B2C93B5-38FA-D4C0-E33A-045D483044C5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11</xdr:row>
      <xdr:rowOff>198120</xdr:rowOff>
    </xdr:from>
    <xdr:to>
      <xdr:col>37</xdr:col>
      <xdr:colOff>274320</xdr:colOff>
      <xdr:row>11</xdr:row>
      <xdr:rowOff>205740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56C0BD9A-0B12-4A15-8FF3-01F670CFC02C}"/>
            </a:ext>
          </a:extLst>
        </xdr:cNvPr>
        <xdr:cNvGrpSpPr/>
      </xdr:nvGrpSpPr>
      <xdr:grpSpPr>
        <a:xfrm>
          <a:off x="7515726" y="3248018"/>
          <a:ext cx="3456753" cy="9144"/>
          <a:chOff x="853440" y="2072640"/>
          <a:chExt cx="3375660" cy="7620"/>
        </a:xfrm>
      </xdr:grpSpPr>
      <xdr:cxnSp macro="">
        <xdr:nvCxnSpPr>
          <xdr:cNvPr id="21" name="直線矢印コネクタ 20">
            <a:extLst>
              <a:ext uri="{FF2B5EF4-FFF2-40B4-BE49-F238E27FC236}">
                <a16:creationId xmlns:a16="http://schemas.microsoft.com/office/drawing/2014/main" id="{64D430C7-3742-298B-C11F-2841CEC37D4D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直線矢印コネクタ 21">
            <a:extLst>
              <a:ext uri="{FF2B5EF4-FFF2-40B4-BE49-F238E27FC236}">
                <a16:creationId xmlns:a16="http://schemas.microsoft.com/office/drawing/2014/main" id="{60210E27-33E3-77C2-3068-8A73044CF5B1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11</xdr:row>
      <xdr:rowOff>205740</xdr:rowOff>
    </xdr:from>
    <xdr:to>
      <xdr:col>25</xdr:col>
      <xdr:colOff>259080</xdr:colOff>
      <xdr:row>11</xdr:row>
      <xdr:rowOff>213360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48F404CA-A1E5-4282-BD43-3DA57E1DA111}"/>
            </a:ext>
          </a:extLst>
        </xdr:cNvPr>
        <xdr:cNvGrpSpPr/>
      </xdr:nvGrpSpPr>
      <xdr:grpSpPr>
        <a:xfrm>
          <a:off x="5783179" y="3257162"/>
          <a:ext cx="1707441" cy="7620"/>
          <a:chOff x="853440" y="2072640"/>
          <a:chExt cx="1668780" cy="7620"/>
        </a:xfrm>
      </xdr:grpSpPr>
      <xdr:cxnSp macro="">
        <xdr:nvCxnSpPr>
          <xdr:cNvPr id="24" name="直線矢印コネクタ 23">
            <a:extLst>
              <a:ext uri="{FF2B5EF4-FFF2-40B4-BE49-F238E27FC236}">
                <a16:creationId xmlns:a16="http://schemas.microsoft.com/office/drawing/2014/main" id="{03108E3A-DBD0-C3D6-C6B7-01B11DDE26EA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直線矢印コネクタ 24">
            <a:extLst>
              <a:ext uri="{FF2B5EF4-FFF2-40B4-BE49-F238E27FC236}">
                <a16:creationId xmlns:a16="http://schemas.microsoft.com/office/drawing/2014/main" id="{452B4667-D95D-0869-923B-F578B4E6CD6F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19</xdr:row>
      <xdr:rowOff>198120</xdr:rowOff>
    </xdr:from>
    <xdr:to>
      <xdr:col>13</xdr:col>
      <xdr:colOff>274320</xdr:colOff>
      <xdr:row>19</xdr:row>
      <xdr:rowOff>205740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5DFC184F-EBDE-441F-8545-0DFEA3E632B2}"/>
            </a:ext>
          </a:extLst>
        </xdr:cNvPr>
        <xdr:cNvGrpSpPr/>
      </xdr:nvGrpSpPr>
      <xdr:grpSpPr>
        <a:xfrm>
          <a:off x="585537" y="5870903"/>
          <a:ext cx="3456753" cy="9144"/>
          <a:chOff x="853440" y="2072640"/>
          <a:chExt cx="3375660" cy="7620"/>
        </a:xfrm>
      </xdr:grpSpPr>
      <xdr:cxnSp macro="">
        <xdr:nvCxnSpPr>
          <xdr:cNvPr id="27" name="直線矢印コネクタ 26">
            <a:extLst>
              <a:ext uri="{FF2B5EF4-FFF2-40B4-BE49-F238E27FC236}">
                <a16:creationId xmlns:a16="http://schemas.microsoft.com/office/drawing/2014/main" id="{113FABE4-86DE-F890-2A86-2E8028B18B1A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直線矢印コネクタ 27">
            <a:extLst>
              <a:ext uri="{FF2B5EF4-FFF2-40B4-BE49-F238E27FC236}">
                <a16:creationId xmlns:a16="http://schemas.microsoft.com/office/drawing/2014/main" id="{B2F7741C-BAA0-B3D2-5084-B34DFF58C3C5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21</xdr:row>
      <xdr:rowOff>205740</xdr:rowOff>
    </xdr:from>
    <xdr:to>
      <xdr:col>13</xdr:col>
      <xdr:colOff>274320</xdr:colOff>
      <xdr:row>21</xdr:row>
      <xdr:rowOff>213360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47A1A4E4-D847-423E-B329-99EC2BD8B0FF}"/>
            </a:ext>
          </a:extLst>
        </xdr:cNvPr>
        <xdr:cNvGrpSpPr/>
      </xdr:nvGrpSpPr>
      <xdr:grpSpPr>
        <a:xfrm>
          <a:off x="585537" y="6799794"/>
          <a:ext cx="3456753" cy="7620"/>
          <a:chOff x="853440" y="2072640"/>
          <a:chExt cx="3375660" cy="7620"/>
        </a:xfrm>
      </xdr:grpSpPr>
      <xdr:cxnSp macro="">
        <xdr:nvCxnSpPr>
          <xdr:cNvPr id="30" name="直線矢印コネクタ 29">
            <a:extLst>
              <a:ext uri="{FF2B5EF4-FFF2-40B4-BE49-F238E27FC236}">
                <a16:creationId xmlns:a16="http://schemas.microsoft.com/office/drawing/2014/main" id="{310A661A-D7A1-1A84-6A5D-14237FCB848E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直線矢印コネクタ 30">
            <a:extLst>
              <a:ext uri="{FF2B5EF4-FFF2-40B4-BE49-F238E27FC236}">
                <a16:creationId xmlns:a16="http://schemas.microsoft.com/office/drawing/2014/main" id="{B0534C0B-626A-D1FD-9A84-92B62F20C09F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20</xdr:row>
      <xdr:rowOff>213360</xdr:rowOff>
    </xdr:from>
    <xdr:to>
      <xdr:col>25</xdr:col>
      <xdr:colOff>274320</xdr:colOff>
      <xdr:row>20</xdr:row>
      <xdr:rowOff>220980</xdr:rowOff>
    </xdr:to>
    <xdr:grpSp>
      <xdr:nvGrpSpPr>
        <xdr:cNvPr id="32" name="グループ化 31">
          <a:extLst>
            <a:ext uri="{FF2B5EF4-FFF2-40B4-BE49-F238E27FC236}">
              <a16:creationId xmlns:a16="http://schemas.microsoft.com/office/drawing/2014/main" id="{6F2AF5FB-EC67-45CB-9094-627570D228D0}"/>
            </a:ext>
          </a:extLst>
        </xdr:cNvPr>
        <xdr:cNvGrpSpPr/>
      </xdr:nvGrpSpPr>
      <xdr:grpSpPr>
        <a:xfrm>
          <a:off x="4050632" y="6347540"/>
          <a:ext cx="3456752" cy="7620"/>
          <a:chOff x="853440" y="2072640"/>
          <a:chExt cx="3375660" cy="7620"/>
        </a:xfrm>
      </xdr:grpSpPr>
      <xdr:cxnSp macro="">
        <xdr:nvCxnSpPr>
          <xdr:cNvPr id="33" name="直線矢印コネクタ 32">
            <a:extLst>
              <a:ext uri="{FF2B5EF4-FFF2-40B4-BE49-F238E27FC236}">
                <a16:creationId xmlns:a16="http://schemas.microsoft.com/office/drawing/2014/main" id="{449D28E8-E637-518C-42F9-5108EC95308A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直線矢印コネクタ 33">
            <a:extLst>
              <a:ext uri="{FF2B5EF4-FFF2-40B4-BE49-F238E27FC236}">
                <a16:creationId xmlns:a16="http://schemas.microsoft.com/office/drawing/2014/main" id="{CAF7466C-430B-261A-B052-34CF010E1ABA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20</xdr:row>
      <xdr:rowOff>220980</xdr:rowOff>
    </xdr:from>
    <xdr:to>
      <xdr:col>13</xdr:col>
      <xdr:colOff>259080</xdr:colOff>
      <xdr:row>20</xdr:row>
      <xdr:rowOff>228600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A733332A-AB88-4135-9156-5AA43B416863}"/>
            </a:ext>
          </a:extLst>
        </xdr:cNvPr>
        <xdr:cNvGrpSpPr/>
      </xdr:nvGrpSpPr>
      <xdr:grpSpPr>
        <a:xfrm>
          <a:off x="2318084" y="6355160"/>
          <a:ext cx="1707442" cy="7620"/>
          <a:chOff x="853440" y="2072640"/>
          <a:chExt cx="1668780" cy="7620"/>
        </a:xfrm>
      </xdr:grpSpPr>
      <xdr:cxnSp macro="">
        <xdr:nvCxnSpPr>
          <xdr:cNvPr id="36" name="直線矢印コネクタ 35">
            <a:extLst>
              <a:ext uri="{FF2B5EF4-FFF2-40B4-BE49-F238E27FC236}">
                <a16:creationId xmlns:a16="http://schemas.microsoft.com/office/drawing/2014/main" id="{148E599C-3434-6E81-9D13-FFF1B8AAC264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7" name="直線矢印コネクタ 36">
            <a:extLst>
              <a:ext uri="{FF2B5EF4-FFF2-40B4-BE49-F238E27FC236}">
                <a16:creationId xmlns:a16="http://schemas.microsoft.com/office/drawing/2014/main" id="{5F39E2DF-4FC2-FD0F-BC53-B0A684670325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20</xdr:row>
      <xdr:rowOff>205740</xdr:rowOff>
    </xdr:from>
    <xdr:to>
      <xdr:col>31</xdr:col>
      <xdr:colOff>259080</xdr:colOff>
      <xdr:row>20</xdr:row>
      <xdr:rowOff>213360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529B1B42-1D19-4A4F-AD4F-FC66D774D1F0}"/>
            </a:ext>
          </a:extLst>
        </xdr:cNvPr>
        <xdr:cNvGrpSpPr/>
      </xdr:nvGrpSpPr>
      <xdr:grpSpPr>
        <a:xfrm>
          <a:off x="7515726" y="6339920"/>
          <a:ext cx="1707442" cy="7620"/>
          <a:chOff x="853440" y="2072640"/>
          <a:chExt cx="1668780" cy="7620"/>
        </a:xfrm>
      </xdr:grpSpPr>
      <xdr:cxnSp macro="">
        <xdr:nvCxnSpPr>
          <xdr:cNvPr id="39" name="直線矢印コネクタ 38">
            <a:extLst>
              <a:ext uri="{FF2B5EF4-FFF2-40B4-BE49-F238E27FC236}">
                <a16:creationId xmlns:a16="http://schemas.microsoft.com/office/drawing/2014/main" id="{3CCCB2AE-2435-3AFC-3CFD-ADA9E85E2F4E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直線矢印コネクタ 39">
            <a:extLst>
              <a:ext uri="{FF2B5EF4-FFF2-40B4-BE49-F238E27FC236}">
                <a16:creationId xmlns:a16="http://schemas.microsoft.com/office/drawing/2014/main" id="{555F97EE-7A09-D2E8-10C4-E39AC10BC624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0</xdr:colOff>
      <xdr:row>20</xdr:row>
      <xdr:rowOff>198120</xdr:rowOff>
    </xdr:from>
    <xdr:to>
      <xdr:col>37</xdr:col>
      <xdr:colOff>259080</xdr:colOff>
      <xdr:row>20</xdr:row>
      <xdr:rowOff>205740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B235BC91-4F5D-43C8-B567-8CD2ECA91EA1}"/>
            </a:ext>
          </a:extLst>
        </xdr:cNvPr>
        <xdr:cNvGrpSpPr/>
      </xdr:nvGrpSpPr>
      <xdr:grpSpPr>
        <a:xfrm>
          <a:off x="9248274" y="6330776"/>
          <a:ext cx="1707441" cy="9144"/>
          <a:chOff x="853440" y="2072640"/>
          <a:chExt cx="1668780" cy="7620"/>
        </a:xfrm>
      </xdr:grpSpPr>
      <xdr:cxnSp macro="">
        <xdr:nvCxnSpPr>
          <xdr:cNvPr id="42" name="直線矢印コネクタ 41">
            <a:extLst>
              <a:ext uri="{FF2B5EF4-FFF2-40B4-BE49-F238E27FC236}">
                <a16:creationId xmlns:a16="http://schemas.microsoft.com/office/drawing/2014/main" id="{E51A0D27-4671-0F33-3DC3-043DDD4204D8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" name="直線矢印コネクタ 42">
            <a:extLst>
              <a:ext uri="{FF2B5EF4-FFF2-40B4-BE49-F238E27FC236}">
                <a16:creationId xmlns:a16="http://schemas.microsoft.com/office/drawing/2014/main" id="{1E8A2F83-9151-E273-EF04-2BCB40F831EC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21</xdr:row>
      <xdr:rowOff>198120</xdr:rowOff>
    </xdr:from>
    <xdr:to>
      <xdr:col>37</xdr:col>
      <xdr:colOff>266700</xdr:colOff>
      <xdr:row>21</xdr:row>
      <xdr:rowOff>205740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AF03089C-B487-4F59-B43B-929893788BFF}"/>
            </a:ext>
          </a:extLst>
        </xdr:cNvPr>
        <xdr:cNvGrpSpPr/>
      </xdr:nvGrpSpPr>
      <xdr:grpSpPr>
        <a:xfrm>
          <a:off x="4050632" y="6790650"/>
          <a:ext cx="6914227" cy="9144"/>
          <a:chOff x="853440" y="2072640"/>
          <a:chExt cx="6751320" cy="7620"/>
        </a:xfrm>
      </xdr:grpSpPr>
      <xdr:cxnSp macro="">
        <xdr:nvCxnSpPr>
          <xdr:cNvPr id="45" name="直線矢印コネクタ 44">
            <a:extLst>
              <a:ext uri="{FF2B5EF4-FFF2-40B4-BE49-F238E27FC236}">
                <a16:creationId xmlns:a16="http://schemas.microsoft.com/office/drawing/2014/main" id="{38CA856C-7FC6-2887-7CB7-FD7CB42FB731}"/>
              </a:ext>
            </a:extLst>
          </xdr:cNvPr>
          <xdr:cNvCxnSpPr/>
        </xdr:nvCxnSpPr>
        <xdr:spPr>
          <a:xfrm flipH="1">
            <a:off x="85344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直線矢印コネクタ 45">
            <a:extLst>
              <a:ext uri="{FF2B5EF4-FFF2-40B4-BE49-F238E27FC236}">
                <a16:creationId xmlns:a16="http://schemas.microsoft.com/office/drawing/2014/main" id="{F67A7A83-5CD5-E03F-1B6F-8486352A727C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19</xdr:row>
      <xdr:rowOff>190500</xdr:rowOff>
    </xdr:from>
    <xdr:to>
      <xdr:col>37</xdr:col>
      <xdr:colOff>266700</xdr:colOff>
      <xdr:row>19</xdr:row>
      <xdr:rowOff>198120</xdr:rowOff>
    </xdr:to>
    <xdr:grpSp>
      <xdr:nvGrpSpPr>
        <xdr:cNvPr id="49" name="グループ化 48">
          <a:extLst>
            <a:ext uri="{FF2B5EF4-FFF2-40B4-BE49-F238E27FC236}">
              <a16:creationId xmlns:a16="http://schemas.microsoft.com/office/drawing/2014/main" id="{A70032F4-F75B-4F32-905D-73827765E189}"/>
            </a:ext>
          </a:extLst>
        </xdr:cNvPr>
        <xdr:cNvGrpSpPr/>
      </xdr:nvGrpSpPr>
      <xdr:grpSpPr>
        <a:xfrm>
          <a:off x="4050632" y="5863283"/>
          <a:ext cx="6914227" cy="7620"/>
          <a:chOff x="853440" y="2072640"/>
          <a:chExt cx="6751320" cy="7620"/>
        </a:xfrm>
      </xdr:grpSpPr>
      <xdr:cxnSp macro="">
        <xdr:nvCxnSpPr>
          <xdr:cNvPr id="50" name="直線矢印コネクタ 49">
            <a:extLst>
              <a:ext uri="{FF2B5EF4-FFF2-40B4-BE49-F238E27FC236}">
                <a16:creationId xmlns:a16="http://schemas.microsoft.com/office/drawing/2014/main" id="{7E928423-1919-F4D4-1D21-46E3B2E87637}"/>
              </a:ext>
            </a:extLst>
          </xdr:cNvPr>
          <xdr:cNvCxnSpPr/>
        </xdr:nvCxnSpPr>
        <xdr:spPr>
          <a:xfrm flipH="1">
            <a:off x="85344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" name="直線矢印コネクタ 50">
            <a:extLst>
              <a:ext uri="{FF2B5EF4-FFF2-40B4-BE49-F238E27FC236}">
                <a16:creationId xmlns:a16="http://schemas.microsoft.com/office/drawing/2014/main" id="{9ECDAED0-55FF-533F-FA7C-D81A7A905C6B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30</xdr:row>
      <xdr:rowOff>198120</xdr:rowOff>
    </xdr:from>
    <xdr:to>
      <xdr:col>19</xdr:col>
      <xdr:colOff>259080</xdr:colOff>
      <xdr:row>30</xdr:row>
      <xdr:rowOff>205740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74D15D09-64D0-48AF-9F45-03B9F6CD3315}"/>
            </a:ext>
          </a:extLst>
        </xdr:cNvPr>
        <xdr:cNvGrpSpPr/>
      </xdr:nvGrpSpPr>
      <xdr:grpSpPr>
        <a:xfrm>
          <a:off x="4050632" y="9873408"/>
          <a:ext cx="1707441" cy="9144"/>
          <a:chOff x="853440" y="2072640"/>
          <a:chExt cx="1668780" cy="7620"/>
        </a:xfrm>
      </xdr:grpSpPr>
      <xdr:cxnSp macro="">
        <xdr:nvCxnSpPr>
          <xdr:cNvPr id="53" name="直線矢印コネクタ 52">
            <a:extLst>
              <a:ext uri="{FF2B5EF4-FFF2-40B4-BE49-F238E27FC236}">
                <a16:creationId xmlns:a16="http://schemas.microsoft.com/office/drawing/2014/main" id="{E7D5A088-EAB5-09B0-CE47-09C1685C2D8C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" name="直線矢印コネクタ 53">
            <a:extLst>
              <a:ext uri="{FF2B5EF4-FFF2-40B4-BE49-F238E27FC236}">
                <a16:creationId xmlns:a16="http://schemas.microsoft.com/office/drawing/2014/main" id="{C38BA451-F1C6-2CAC-1948-03B47D7536AC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29</xdr:row>
      <xdr:rowOff>213360</xdr:rowOff>
    </xdr:from>
    <xdr:to>
      <xdr:col>13</xdr:col>
      <xdr:colOff>274320</xdr:colOff>
      <xdr:row>29</xdr:row>
      <xdr:rowOff>220980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74F625D6-78CC-457D-B883-F82CAC67E4E5}"/>
            </a:ext>
          </a:extLst>
        </xdr:cNvPr>
        <xdr:cNvGrpSpPr/>
      </xdr:nvGrpSpPr>
      <xdr:grpSpPr>
        <a:xfrm>
          <a:off x="585537" y="9430298"/>
          <a:ext cx="3456753" cy="7620"/>
          <a:chOff x="853440" y="2072640"/>
          <a:chExt cx="3375660" cy="7620"/>
        </a:xfrm>
      </xdr:grpSpPr>
      <xdr:cxnSp macro="">
        <xdr:nvCxnSpPr>
          <xdr:cNvPr id="56" name="直線矢印コネクタ 55">
            <a:extLst>
              <a:ext uri="{FF2B5EF4-FFF2-40B4-BE49-F238E27FC236}">
                <a16:creationId xmlns:a16="http://schemas.microsoft.com/office/drawing/2014/main" id="{09798FDF-0760-02B3-F8FC-6CF8C2068A18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" name="直線矢印コネクタ 56">
            <a:extLst>
              <a:ext uri="{FF2B5EF4-FFF2-40B4-BE49-F238E27FC236}">
                <a16:creationId xmlns:a16="http://schemas.microsoft.com/office/drawing/2014/main" id="{6C34375A-6B1C-A0EF-6F64-96F07B3C01F0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30</xdr:row>
      <xdr:rowOff>205740</xdr:rowOff>
    </xdr:from>
    <xdr:to>
      <xdr:col>13</xdr:col>
      <xdr:colOff>274320</xdr:colOff>
      <xdr:row>30</xdr:row>
      <xdr:rowOff>213360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96BCA385-705C-454E-A069-8DCFA4650085}"/>
            </a:ext>
          </a:extLst>
        </xdr:cNvPr>
        <xdr:cNvGrpSpPr/>
      </xdr:nvGrpSpPr>
      <xdr:grpSpPr>
        <a:xfrm>
          <a:off x="585537" y="9882552"/>
          <a:ext cx="3456753" cy="7620"/>
          <a:chOff x="853440" y="2072640"/>
          <a:chExt cx="3375660" cy="7620"/>
        </a:xfrm>
      </xdr:grpSpPr>
      <xdr:cxnSp macro="">
        <xdr:nvCxnSpPr>
          <xdr:cNvPr id="59" name="直線矢印コネクタ 58">
            <a:extLst>
              <a:ext uri="{FF2B5EF4-FFF2-40B4-BE49-F238E27FC236}">
                <a16:creationId xmlns:a16="http://schemas.microsoft.com/office/drawing/2014/main" id="{DFD3AF10-0A4C-B2D3-C595-D30590572815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" name="直線矢印コネクタ 59">
            <a:extLst>
              <a:ext uri="{FF2B5EF4-FFF2-40B4-BE49-F238E27FC236}">
                <a16:creationId xmlns:a16="http://schemas.microsoft.com/office/drawing/2014/main" id="{F2AC55C4-8A5B-807F-9AD8-E2D1101DB973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31</xdr:row>
      <xdr:rowOff>205740</xdr:rowOff>
    </xdr:from>
    <xdr:to>
      <xdr:col>13</xdr:col>
      <xdr:colOff>274320</xdr:colOff>
      <xdr:row>31</xdr:row>
      <xdr:rowOff>213360</xdr:rowOff>
    </xdr:to>
    <xdr:grpSp>
      <xdr:nvGrpSpPr>
        <xdr:cNvPr id="61" name="グループ化 60">
          <a:extLst>
            <a:ext uri="{FF2B5EF4-FFF2-40B4-BE49-F238E27FC236}">
              <a16:creationId xmlns:a16="http://schemas.microsoft.com/office/drawing/2014/main" id="{01472F7D-F1CF-4994-B108-46CC4767B65F}"/>
            </a:ext>
          </a:extLst>
        </xdr:cNvPr>
        <xdr:cNvGrpSpPr/>
      </xdr:nvGrpSpPr>
      <xdr:grpSpPr>
        <a:xfrm>
          <a:off x="585537" y="10342425"/>
          <a:ext cx="3456753" cy="7620"/>
          <a:chOff x="853440" y="2072640"/>
          <a:chExt cx="3375660" cy="7620"/>
        </a:xfrm>
      </xdr:grpSpPr>
      <xdr:cxnSp macro="">
        <xdr:nvCxnSpPr>
          <xdr:cNvPr id="62" name="直線矢印コネクタ 61">
            <a:extLst>
              <a:ext uri="{FF2B5EF4-FFF2-40B4-BE49-F238E27FC236}">
                <a16:creationId xmlns:a16="http://schemas.microsoft.com/office/drawing/2014/main" id="{29B55C03-7B9F-C515-0AC5-4DE3ACA6BCBB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" name="直線矢印コネクタ 62">
            <a:extLst>
              <a:ext uri="{FF2B5EF4-FFF2-40B4-BE49-F238E27FC236}">
                <a16:creationId xmlns:a16="http://schemas.microsoft.com/office/drawing/2014/main" id="{1DA7751B-8F46-74A1-D469-3DD0EDF7A236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31</xdr:row>
      <xdr:rowOff>190500</xdr:rowOff>
    </xdr:from>
    <xdr:to>
      <xdr:col>37</xdr:col>
      <xdr:colOff>274320</xdr:colOff>
      <xdr:row>31</xdr:row>
      <xdr:rowOff>198120</xdr:rowOff>
    </xdr:to>
    <xdr:grpSp>
      <xdr:nvGrpSpPr>
        <xdr:cNvPr id="64" name="グループ化 63">
          <a:extLst>
            <a:ext uri="{FF2B5EF4-FFF2-40B4-BE49-F238E27FC236}">
              <a16:creationId xmlns:a16="http://schemas.microsoft.com/office/drawing/2014/main" id="{81E2BC2A-AA40-465B-B7C6-6240D9C81391}"/>
            </a:ext>
          </a:extLst>
        </xdr:cNvPr>
        <xdr:cNvGrpSpPr/>
      </xdr:nvGrpSpPr>
      <xdr:grpSpPr>
        <a:xfrm>
          <a:off x="7515726" y="10325661"/>
          <a:ext cx="3456753" cy="7620"/>
          <a:chOff x="853440" y="2072640"/>
          <a:chExt cx="3375660" cy="7620"/>
        </a:xfrm>
      </xdr:grpSpPr>
      <xdr:cxnSp macro="">
        <xdr:nvCxnSpPr>
          <xdr:cNvPr id="65" name="直線矢印コネクタ 64">
            <a:extLst>
              <a:ext uri="{FF2B5EF4-FFF2-40B4-BE49-F238E27FC236}">
                <a16:creationId xmlns:a16="http://schemas.microsoft.com/office/drawing/2014/main" id="{03B0C88B-BD2F-2954-7464-15E645E3F94A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" name="直線矢印コネクタ 65">
            <a:extLst>
              <a:ext uri="{FF2B5EF4-FFF2-40B4-BE49-F238E27FC236}">
                <a16:creationId xmlns:a16="http://schemas.microsoft.com/office/drawing/2014/main" id="{2A3694C0-0D39-881F-DF4C-7B63BF8C93D5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30</xdr:row>
      <xdr:rowOff>441960</xdr:rowOff>
    </xdr:from>
    <xdr:to>
      <xdr:col>25</xdr:col>
      <xdr:colOff>259080</xdr:colOff>
      <xdr:row>31</xdr:row>
      <xdr:rowOff>0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894C0D19-8931-4C49-8672-A1C474BA1196}"/>
            </a:ext>
          </a:extLst>
        </xdr:cNvPr>
        <xdr:cNvGrpSpPr/>
      </xdr:nvGrpSpPr>
      <xdr:grpSpPr>
        <a:xfrm>
          <a:off x="5783179" y="10124868"/>
          <a:ext cx="1707441" cy="5721"/>
          <a:chOff x="853440" y="2072640"/>
          <a:chExt cx="1668780" cy="7620"/>
        </a:xfrm>
      </xdr:grpSpPr>
      <xdr:cxnSp macro="">
        <xdr:nvCxnSpPr>
          <xdr:cNvPr id="71" name="直線矢印コネクタ 70">
            <a:extLst>
              <a:ext uri="{FF2B5EF4-FFF2-40B4-BE49-F238E27FC236}">
                <a16:creationId xmlns:a16="http://schemas.microsoft.com/office/drawing/2014/main" id="{2D40136E-0DA1-90EC-5908-E2D939719337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" name="直線矢印コネクタ 71">
            <a:extLst>
              <a:ext uri="{FF2B5EF4-FFF2-40B4-BE49-F238E27FC236}">
                <a16:creationId xmlns:a16="http://schemas.microsoft.com/office/drawing/2014/main" id="{F5693B25-2792-A335-0C14-511AACF0994A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0</xdr:colOff>
      <xdr:row>30</xdr:row>
      <xdr:rowOff>220980</xdr:rowOff>
    </xdr:from>
    <xdr:to>
      <xdr:col>37</xdr:col>
      <xdr:colOff>259080</xdr:colOff>
      <xdr:row>30</xdr:row>
      <xdr:rowOff>228600</xdr:rowOff>
    </xdr:to>
    <xdr:grpSp>
      <xdr:nvGrpSpPr>
        <xdr:cNvPr id="73" name="グループ化 72">
          <a:extLst>
            <a:ext uri="{FF2B5EF4-FFF2-40B4-BE49-F238E27FC236}">
              <a16:creationId xmlns:a16="http://schemas.microsoft.com/office/drawing/2014/main" id="{929D1DEA-79AD-4CC2-86EF-E129B80E53BD}"/>
            </a:ext>
          </a:extLst>
        </xdr:cNvPr>
        <xdr:cNvGrpSpPr/>
      </xdr:nvGrpSpPr>
      <xdr:grpSpPr>
        <a:xfrm>
          <a:off x="9248274" y="9897792"/>
          <a:ext cx="1707441" cy="7620"/>
          <a:chOff x="853440" y="2072640"/>
          <a:chExt cx="1668780" cy="7620"/>
        </a:xfrm>
      </xdr:grpSpPr>
      <xdr:cxnSp macro="">
        <xdr:nvCxnSpPr>
          <xdr:cNvPr id="74" name="直線矢印コネクタ 73">
            <a:extLst>
              <a:ext uri="{FF2B5EF4-FFF2-40B4-BE49-F238E27FC236}">
                <a16:creationId xmlns:a16="http://schemas.microsoft.com/office/drawing/2014/main" id="{E192D113-A64A-460C-EC5B-F9F6C4E01DF1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" name="直線矢印コネクタ 74">
            <a:extLst>
              <a:ext uri="{FF2B5EF4-FFF2-40B4-BE49-F238E27FC236}">
                <a16:creationId xmlns:a16="http://schemas.microsoft.com/office/drawing/2014/main" id="{6B8FCD48-D48C-853D-D047-E907E959201D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39</xdr:row>
      <xdr:rowOff>441960</xdr:rowOff>
    </xdr:from>
    <xdr:to>
      <xdr:col>31</xdr:col>
      <xdr:colOff>251460</xdr:colOff>
      <xdr:row>40</xdr:row>
      <xdr:rowOff>0</xdr:rowOff>
    </xdr:to>
    <xdr:grpSp>
      <xdr:nvGrpSpPr>
        <xdr:cNvPr id="76" name="グループ化 75">
          <a:extLst>
            <a:ext uri="{FF2B5EF4-FFF2-40B4-BE49-F238E27FC236}">
              <a16:creationId xmlns:a16="http://schemas.microsoft.com/office/drawing/2014/main" id="{5CDCEBAF-0EE3-4837-858F-C51484CD1885}"/>
            </a:ext>
          </a:extLst>
        </xdr:cNvPr>
        <xdr:cNvGrpSpPr/>
      </xdr:nvGrpSpPr>
      <xdr:grpSpPr>
        <a:xfrm>
          <a:off x="585537" y="13207626"/>
          <a:ext cx="8630011" cy="5721"/>
          <a:chOff x="853440" y="2072640"/>
          <a:chExt cx="8427720" cy="7620"/>
        </a:xfrm>
      </xdr:grpSpPr>
      <xdr:cxnSp macro="">
        <xdr:nvCxnSpPr>
          <xdr:cNvPr id="77" name="直線矢印コネクタ 76">
            <a:extLst>
              <a:ext uri="{FF2B5EF4-FFF2-40B4-BE49-F238E27FC236}">
                <a16:creationId xmlns:a16="http://schemas.microsoft.com/office/drawing/2014/main" id="{1FABABBB-269F-9C27-C50D-443E4145B8FE}"/>
              </a:ext>
            </a:extLst>
          </xdr:cNvPr>
          <xdr:cNvCxnSpPr/>
        </xdr:nvCxnSpPr>
        <xdr:spPr>
          <a:xfrm flipH="1">
            <a:off x="853440" y="2080260"/>
            <a:ext cx="266700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直線矢印コネクタ 77">
            <a:extLst>
              <a:ext uri="{FF2B5EF4-FFF2-40B4-BE49-F238E27FC236}">
                <a16:creationId xmlns:a16="http://schemas.microsoft.com/office/drawing/2014/main" id="{9B765E08-1A7B-4EAC-E732-DB8200DD4C90}"/>
              </a:ext>
            </a:extLst>
          </xdr:cNvPr>
          <xdr:cNvCxnSpPr/>
        </xdr:nvCxnSpPr>
        <xdr:spPr>
          <a:xfrm>
            <a:off x="6713220" y="2072640"/>
            <a:ext cx="25679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0</xdr:colOff>
      <xdr:row>39</xdr:row>
      <xdr:rowOff>434340</xdr:rowOff>
    </xdr:from>
    <xdr:to>
      <xdr:col>37</xdr:col>
      <xdr:colOff>259080</xdr:colOff>
      <xdr:row>39</xdr:row>
      <xdr:rowOff>441960</xdr:rowOff>
    </xdr:to>
    <xdr:grpSp>
      <xdr:nvGrpSpPr>
        <xdr:cNvPr id="81" name="グループ化 80">
          <a:extLst>
            <a:ext uri="{FF2B5EF4-FFF2-40B4-BE49-F238E27FC236}">
              <a16:creationId xmlns:a16="http://schemas.microsoft.com/office/drawing/2014/main" id="{27152B0F-2713-4D1A-B616-F317FB72732B}"/>
            </a:ext>
          </a:extLst>
        </xdr:cNvPr>
        <xdr:cNvGrpSpPr/>
      </xdr:nvGrpSpPr>
      <xdr:grpSpPr>
        <a:xfrm>
          <a:off x="9248274" y="13200006"/>
          <a:ext cx="1707441" cy="7620"/>
          <a:chOff x="853440" y="2072640"/>
          <a:chExt cx="1668780" cy="7620"/>
        </a:xfrm>
      </xdr:grpSpPr>
      <xdr:cxnSp macro="">
        <xdr:nvCxnSpPr>
          <xdr:cNvPr id="82" name="直線矢印コネクタ 81">
            <a:extLst>
              <a:ext uri="{FF2B5EF4-FFF2-40B4-BE49-F238E27FC236}">
                <a16:creationId xmlns:a16="http://schemas.microsoft.com/office/drawing/2014/main" id="{CF2DC20E-6F67-1E72-69AA-2985F6344836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" name="直線矢印コネクタ 82">
            <a:extLst>
              <a:ext uri="{FF2B5EF4-FFF2-40B4-BE49-F238E27FC236}">
                <a16:creationId xmlns:a16="http://schemas.microsoft.com/office/drawing/2014/main" id="{1B16A87B-23AC-7404-F814-E50D8B1EA925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50800</xdr:colOff>
      <xdr:row>10</xdr:row>
      <xdr:rowOff>0</xdr:rowOff>
    </xdr:from>
    <xdr:to>
      <xdr:col>37</xdr:col>
      <xdr:colOff>177800</xdr:colOff>
      <xdr:row>10</xdr:row>
      <xdr:rowOff>7620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4FBC4E68-20FD-44F6-8DB2-742CC80DCA32}"/>
            </a:ext>
          </a:extLst>
        </xdr:cNvPr>
        <xdr:cNvGrpSpPr/>
      </xdr:nvGrpSpPr>
      <xdr:grpSpPr>
        <a:xfrm>
          <a:off x="4082457" y="2576689"/>
          <a:ext cx="6749458" cy="7620"/>
          <a:chOff x="853440" y="2072640"/>
          <a:chExt cx="6751320" cy="7620"/>
        </a:xfrm>
      </xdr:grpSpPr>
      <xdr:cxnSp macro="">
        <xdr:nvCxnSpPr>
          <xdr:cNvPr id="6" name="直線矢印コネクタ 5">
            <a:extLst>
              <a:ext uri="{FF2B5EF4-FFF2-40B4-BE49-F238E27FC236}">
                <a16:creationId xmlns:a16="http://schemas.microsoft.com/office/drawing/2014/main" id="{709F4678-0F12-CB18-EF53-B52D723C86AA}"/>
              </a:ext>
            </a:extLst>
          </xdr:cNvPr>
          <xdr:cNvCxnSpPr/>
        </xdr:nvCxnSpPr>
        <xdr:spPr>
          <a:xfrm flipH="1">
            <a:off x="85344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41130769-D438-DD07-5ACB-0E19B073A892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40640</xdr:colOff>
      <xdr:row>11</xdr:row>
      <xdr:rowOff>182880</xdr:rowOff>
    </xdr:from>
    <xdr:to>
      <xdr:col>37</xdr:col>
      <xdr:colOff>167640</xdr:colOff>
      <xdr:row>11</xdr:row>
      <xdr:rowOff>190500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AC140DB6-7738-4C23-A208-012A9DFE281F}"/>
            </a:ext>
          </a:extLst>
        </xdr:cNvPr>
        <xdr:cNvGrpSpPr/>
      </xdr:nvGrpSpPr>
      <xdr:grpSpPr>
        <a:xfrm>
          <a:off x="4072297" y="3224163"/>
          <a:ext cx="6749458" cy="7620"/>
          <a:chOff x="853440" y="2072640"/>
          <a:chExt cx="6751320" cy="7620"/>
        </a:xfrm>
      </xdr:grpSpPr>
      <xdr:cxnSp macro="">
        <xdr:nvCxnSpPr>
          <xdr:cNvPr id="12" name="直線矢印コネクタ 11">
            <a:extLst>
              <a:ext uri="{FF2B5EF4-FFF2-40B4-BE49-F238E27FC236}">
                <a16:creationId xmlns:a16="http://schemas.microsoft.com/office/drawing/2014/main" id="{14B94D54-694F-7466-7649-B269B9B1A7D0}"/>
              </a:ext>
            </a:extLst>
          </xdr:cNvPr>
          <xdr:cNvCxnSpPr/>
        </xdr:nvCxnSpPr>
        <xdr:spPr>
          <a:xfrm flipH="1">
            <a:off x="85344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直線矢印コネクタ 12">
            <a:extLst>
              <a:ext uri="{FF2B5EF4-FFF2-40B4-BE49-F238E27FC236}">
                <a16:creationId xmlns:a16="http://schemas.microsoft.com/office/drawing/2014/main" id="{D6CF9B64-9682-2DE7-3BDD-57556C129C6D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20</xdr:row>
      <xdr:rowOff>182880</xdr:rowOff>
    </xdr:from>
    <xdr:to>
      <xdr:col>13</xdr:col>
      <xdr:colOff>210820</xdr:colOff>
      <xdr:row>20</xdr:row>
      <xdr:rowOff>190500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A1D303E0-251E-4954-AAC8-784005E9310C}"/>
            </a:ext>
          </a:extLst>
        </xdr:cNvPr>
        <xdr:cNvGrpSpPr/>
      </xdr:nvGrpSpPr>
      <xdr:grpSpPr>
        <a:xfrm>
          <a:off x="575733" y="6300385"/>
          <a:ext cx="3381926" cy="7620"/>
          <a:chOff x="853440" y="2072640"/>
          <a:chExt cx="3375660" cy="7620"/>
        </a:xfrm>
      </xdr:grpSpPr>
      <xdr:cxnSp macro="">
        <xdr:nvCxnSpPr>
          <xdr:cNvPr id="15" name="直線矢印コネクタ 14">
            <a:extLst>
              <a:ext uri="{FF2B5EF4-FFF2-40B4-BE49-F238E27FC236}">
                <a16:creationId xmlns:a16="http://schemas.microsoft.com/office/drawing/2014/main" id="{9C98654B-55DF-76C3-AF1C-6A7B26E92FF6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直線矢印コネクタ 15">
            <a:extLst>
              <a:ext uri="{FF2B5EF4-FFF2-40B4-BE49-F238E27FC236}">
                <a16:creationId xmlns:a16="http://schemas.microsoft.com/office/drawing/2014/main" id="{A62C3CCF-B88B-025C-1B63-5FB10D50935C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60960</xdr:colOff>
      <xdr:row>20</xdr:row>
      <xdr:rowOff>20320</xdr:rowOff>
    </xdr:from>
    <xdr:to>
      <xdr:col>37</xdr:col>
      <xdr:colOff>187960</xdr:colOff>
      <xdr:row>20</xdr:row>
      <xdr:rowOff>27940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6208CC9A-A024-4E77-AAF9-8F8AFF86491E}"/>
            </a:ext>
          </a:extLst>
        </xdr:cNvPr>
        <xdr:cNvGrpSpPr/>
      </xdr:nvGrpSpPr>
      <xdr:grpSpPr>
        <a:xfrm>
          <a:off x="4092617" y="6133253"/>
          <a:ext cx="6750982" cy="9144"/>
          <a:chOff x="853440" y="2072640"/>
          <a:chExt cx="6751320" cy="7620"/>
        </a:xfrm>
      </xdr:grpSpPr>
      <xdr:cxnSp macro="">
        <xdr:nvCxnSpPr>
          <xdr:cNvPr id="18" name="直線矢印コネクタ 17">
            <a:extLst>
              <a:ext uri="{FF2B5EF4-FFF2-40B4-BE49-F238E27FC236}">
                <a16:creationId xmlns:a16="http://schemas.microsoft.com/office/drawing/2014/main" id="{9FB54B4A-7FE7-2601-B061-4343F249C50B}"/>
              </a:ext>
            </a:extLst>
          </xdr:cNvPr>
          <xdr:cNvCxnSpPr/>
        </xdr:nvCxnSpPr>
        <xdr:spPr>
          <a:xfrm flipH="1">
            <a:off x="85344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直線矢印コネクタ 18">
            <a:extLst>
              <a:ext uri="{FF2B5EF4-FFF2-40B4-BE49-F238E27FC236}">
                <a16:creationId xmlns:a16="http://schemas.microsoft.com/office/drawing/2014/main" id="{14AFF089-75B3-96B6-97AC-8DF12FF48C0B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60960</xdr:colOff>
      <xdr:row>21</xdr:row>
      <xdr:rowOff>172720</xdr:rowOff>
    </xdr:from>
    <xdr:to>
      <xdr:col>37</xdr:col>
      <xdr:colOff>187960</xdr:colOff>
      <xdr:row>21</xdr:row>
      <xdr:rowOff>180340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BBC22CF4-1E72-4E39-BD2F-8674E7697C5E}"/>
            </a:ext>
          </a:extLst>
        </xdr:cNvPr>
        <xdr:cNvGrpSpPr/>
      </xdr:nvGrpSpPr>
      <xdr:grpSpPr>
        <a:xfrm>
          <a:off x="4092617" y="6750248"/>
          <a:ext cx="6750982" cy="7620"/>
          <a:chOff x="853440" y="2072640"/>
          <a:chExt cx="6751320" cy="7620"/>
        </a:xfrm>
      </xdr:grpSpPr>
      <xdr:cxnSp macro="">
        <xdr:nvCxnSpPr>
          <xdr:cNvPr id="21" name="直線矢印コネクタ 20">
            <a:extLst>
              <a:ext uri="{FF2B5EF4-FFF2-40B4-BE49-F238E27FC236}">
                <a16:creationId xmlns:a16="http://schemas.microsoft.com/office/drawing/2014/main" id="{78320D97-6737-E9F7-24AA-C7EB200B776E}"/>
              </a:ext>
            </a:extLst>
          </xdr:cNvPr>
          <xdr:cNvCxnSpPr/>
        </xdr:nvCxnSpPr>
        <xdr:spPr>
          <a:xfrm flipH="1">
            <a:off x="85344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直線矢印コネクタ 21">
            <a:extLst>
              <a:ext uri="{FF2B5EF4-FFF2-40B4-BE49-F238E27FC236}">
                <a16:creationId xmlns:a16="http://schemas.microsoft.com/office/drawing/2014/main" id="{ECFAA08E-953A-EE88-C3BE-6547EB14BE8D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81280</xdr:colOff>
      <xdr:row>30</xdr:row>
      <xdr:rowOff>203200</xdr:rowOff>
    </xdr:from>
    <xdr:to>
      <xdr:col>37</xdr:col>
      <xdr:colOff>208280</xdr:colOff>
      <xdr:row>30</xdr:row>
      <xdr:rowOff>210820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B85A98FB-85FC-4EA8-8E29-3090700420B3}"/>
            </a:ext>
          </a:extLst>
        </xdr:cNvPr>
        <xdr:cNvGrpSpPr/>
      </xdr:nvGrpSpPr>
      <xdr:grpSpPr>
        <a:xfrm>
          <a:off x="4112937" y="9858474"/>
          <a:ext cx="6750982" cy="7620"/>
          <a:chOff x="853440" y="2072640"/>
          <a:chExt cx="6751320" cy="7620"/>
        </a:xfrm>
      </xdr:grpSpPr>
      <xdr:cxnSp macro="">
        <xdr:nvCxnSpPr>
          <xdr:cNvPr id="24" name="直線矢印コネクタ 23">
            <a:extLst>
              <a:ext uri="{FF2B5EF4-FFF2-40B4-BE49-F238E27FC236}">
                <a16:creationId xmlns:a16="http://schemas.microsoft.com/office/drawing/2014/main" id="{D126B5E8-E267-FBE9-10B5-D80920C32E25}"/>
              </a:ext>
            </a:extLst>
          </xdr:cNvPr>
          <xdr:cNvCxnSpPr/>
        </xdr:nvCxnSpPr>
        <xdr:spPr>
          <a:xfrm flipH="1">
            <a:off x="85344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直線矢印コネクタ 24">
            <a:extLst>
              <a:ext uri="{FF2B5EF4-FFF2-40B4-BE49-F238E27FC236}">
                <a16:creationId xmlns:a16="http://schemas.microsoft.com/office/drawing/2014/main" id="{685B4031-9219-593C-3007-4048BF0137E3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29</xdr:row>
      <xdr:rowOff>436880</xdr:rowOff>
    </xdr:from>
    <xdr:to>
      <xdr:col>7</xdr:col>
      <xdr:colOff>241300</xdr:colOff>
      <xdr:row>29</xdr:row>
      <xdr:rowOff>444500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412D1332-183D-4B7F-9DC4-E1658013C086}"/>
            </a:ext>
          </a:extLst>
        </xdr:cNvPr>
        <xdr:cNvGrpSpPr/>
      </xdr:nvGrpSpPr>
      <xdr:grpSpPr>
        <a:xfrm>
          <a:off x="575733" y="9638228"/>
          <a:ext cx="1685206" cy="7620"/>
          <a:chOff x="853440" y="2072640"/>
          <a:chExt cx="1668780" cy="7620"/>
        </a:xfrm>
      </xdr:grpSpPr>
      <xdr:cxnSp macro="">
        <xdr:nvCxnSpPr>
          <xdr:cNvPr id="30" name="直線矢印コネクタ 29">
            <a:extLst>
              <a:ext uri="{FF2B5EF4-FFF2-40B4-BE49-F238E27FC236}">
                <a16:creationId xmlns:a16="http://schemas.microsoft.com/office/drawing/2014/main" id="{181F663D-223D-C21A-DD9F-AC07C897DA92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直線矢印コネクタ 30">
            <a:extLst>
              <a:ext uri="{FF2B5EF4-FFF2-40B4-BE49-F238E27FC236}">
                <a16:creationId xmlns:a16="http://schemas.microsoft.com/office/drawing/2014/main" id="{B9F3DE74-7886-A149-CA76-8CFF6825FA59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40</xdr:row>
      <xdr:rowOff>182880</xdr:rowOff>
    </xdr:from>
    <xdr:to>
      <xdr:col>7</xdr:col>
      <xdr:colOff>241300</xdr:colOff>
      <xdr:row>40</xdr:row>
      <xdr:rowOff>190500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23D6E38E-80A1-4DB1-A04F-8C32453B09DD}"/>
            </a:ext>
          </a:extLst>
        </xdr:cNvPr>
        <xdr:cNvGrpSpPr/>
      </xdr:nvGrpSpPr>
      <xdr:grpSpPr>
        <a:xfrm>
          <a:off x="575733" y="13372874"/>
          <a:ext cx="1685206" cy="7620"/>
          <a:chOff x="853440" y="2072640"/>
          <a:chExt cx="1668780" cy="7620"/>
        </a:xfrm>
      </xdr:grpSpPr>
      <xdr:cxnSp macro="">
        <xdr:nvCxnSpPr>
          <xdr:cNvPr id="36" name="直線矢印コネクタ 35">
            <a:extLst>
              <a:ext uri="{FF2B5EF4-FFF2-40B4-BE49-F238E27FC236}">
                <a16:creationId xmlns:a16="http://schemas.microsoft.com/office/drawing/2014/main" id="{D2E98DE1-F7FC-EE1A-247C-0B03A279EDD1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7" name="直線矢印コネクタ 36">
            <a:extLst>
              <a:ext uri="{FF2B5EF4-FFF2-40B4-BE49-F238E27FC236}">
                <a16:creationId xmlns:a16="http://schemas.microsoft.com/office/drawing/2014/main" id="{B565E426-B86D-7590-4A0F-0ADC4F713351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40</xdr:row>
      <xdr:rowOff>172720</xdr:rowOff>
    </xdr:from>
    <xdr:to>
      <xdr:col>13</xdr:col>
      <xdr:colOff>241300</xdr:colOff>
      <xdr:row>40</xdr:row>
      <xdr:rowOff>180340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6AF19703-9DF5-4E14-850D-E2006E651B29}"/>
            </a:ext>
          </a:extLst>
        </xdr:cNvPr>
        <xdr:cNvGrpSpPr/>
      </xdr:nvGrpSpPr>
      <xdr:grpSpPr>
        <a:xfrm>
          <a:off x="2302933" y="13362714"/>
          <a:ext cx="1685206" cy="7620"/>
          <a:chOff x="853440" y="2072640"/>
          <a:chExt cx="1668780" cy="7620"/>
        </a:xfrm>
      </xdr:grpSpPr>
      <xdr:cxnSp macro="">
        <xdr:nvCxnSpPr>
          <xdr:cNvPr id="39" name="直線矢印コネクタ 38">
            <a:extLst>
              <a:ext uri="{FF2B5EF4-FFF2-40B4-BE49-F238E27FC236}">
                <a16:creationId xmlns:a16="http://schemas.microsoft.com/office/drawing/2014/main" id="{B6C6BA60-BBCB-52ED-5B94-248C50243C6C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直線矢印コネクタ 39">
            <a:extLst>
              <a:ext uri="{FF2B5EF4-FFF2-40B4-BE49-F238E27FC236}">
                <a16:creationId xmlns:a16="http://schemas.microsoft.com/office/drawing/2014/main" id="{5FB7E669-7707-B2F3-D78D-C736184FF7C3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0</xdr:colOff>
      <xdr:row>40</xdr:row>
      <xdr:rowOff>40640</xdr:rowOff>
    </xdr:from>
    <xdr:to>
      <xdr:col>37</xdr:col>
      <xdr:colOff>241300</xdr:colOff>
      <xdr:row>40</xdr:row>
      <xdr:rowOff>48260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14D7B006-B27E-4FED-8F12-C4F90C358AAD}"/>
            </a:ext>
          </a:extLst>
        </xdr:cNvPr>
        <xdr:cNvGrpSpPr/>
      </xdr:nvGrpSpPr>
      <xdr:grpSpPr>
        <a:xfrm>
          <a:off x="9211733" y="13227586"/>
          <a:ext cx="1685206" cy="7620"/>
          <a:chOff x="853440" y="2072640"/>
          <a:chExt cx="1668780" cy="7620"/>
        </a:xfrm>
      </xdr:grpSpPr>
      <xdr:cxnSp macro="">
        <xdr:nvCxnSpPr>
          <xdr:cNvPr id="42" name="直線矢印コネクタ 41">
            <a:extLst>
              <a:ext uri="{FF2B5EF4-FFF2-40B4-BE49-F238E27FC236}">
                <a16:creationId xmlns:a16="http://schemas.microsoft.com/office/drawing/2014/main" id="{2B4A5AE1-01BD-445C-603C-F44A4234B03F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" name="直線矢印コネクタ 42">
            <a:extLst>
              <a:ext uri="{FF2B5EF4-FFF2-40B4-BE49-F238E27FC236}">
                <a16:creationId xmlns:a16="http://schemas.microsoft.com/office/drawing/2014/main" id="{5E5F962B-9724-D2FE-F7AC-8A6FFB80E1D6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0</xdr:colOff>
      <xdr:row>41</xdr:row>
      <xdr:rowOff>172720</xdr:rowOff>
    </xdr:from>
    <xdr:to>
      <xdr:col>37</xdr:col>
      <xdr:colOff>241300</xdr:colOff>
      <xdr:row>41</xdr:row>
      <xdr:rowOff>180340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758EE269-F169-41CA-85CA-59C03185681F}"/>
            </a:ext>
          </a:extLst>
        </xdr:cNvPr>
        <xdr:cNvGrpSpPr/>
      </xdr:nvGrpSpPr>
      <xdr:grpSpPr>
        <a:xfrm>
          <a:off x="9211733" y="13822736"/>
          <a:ext cx="1685206" cy="7620"/>
          <a:chOff x="853440" y="2072640"/>
          <a:chExt cx="1668780" cy="7620"/>
        </a:xfrm>
      </xdr:grpSpPr>
      <xdr:cxnSp macro="">
        <xdr:nvCxnSpPr>
          <xdr:cNvPr id="45" name="直線矢印コネクタ 44">
            <a:extLst>
              <a:ext uri="{FF2B5EF4-FFF2-40B4-BE49-F238E27FC236}">
                <a16:creationId xmlns:a16="http://schemas.microsoft.com/office/drawing/2014/main" id="{8468CBC0-73FC-BC01-B2DC-1DE40112DBB7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直線矢印コネクタ 45">
            <a:extLst>
              <a:ext uri="{FF2B5EF4-FFF2-40B4-BE49-F238E27FC236}">
                <a16:creationId xmlns:a16="http://schemas.microsoft.com/office/drawing/2014/main" id="{949ED980-2089-53E8-AA4C-EC7BBAE20272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35169</xdr:colOff>
      <xdr:row>40</xdr:row>
      <xdr:rowOff>46892</xdr:rowOff>
    </xdr:from>
    <xdr:to>
      <xdr:col>31</xdr:col>
      <xdr:colOff>250092</xdr:colOff>
      <xdr:row>40</xdr:row>
      <xdr:rowOff>54512</xdr:rowOff>
    </xdr:to>
    <xdr:grpSp>
      <xdr:nvGrpSpPr>
        <xdr:cNvPr id="50" name="グループ化 49">
          <a:extLst>
            <a:ext uri="{FF2B5EF4-FFF2-40B4-BE49-F238E27FC236}">
              <a16:creationId xmlns:a16="http://schemas.microsoft.com/office/drawing/2014/main" id="{418F8FA7-E9B5-4751-A5B7-75DE95B23C7B}"/>
            </a:ext>
          </a:extLst>
        </xdr:cNvPr>
        <xdr:cNvGrpSpPr/>
      </xdr:nvGrpSpPr>
      <xdr:grpSpPr>
        <a:xfrm>
          <a:off x="4066826" y="13233838"/>
          <a:ext cx="5111705" cy="7620"/>
          <a:chOff x="2493270" y="2072640"/>
          <a:chExt cx="5111490" cy="7620"/>
        </a:xfrm>
      </xdr:grpSpPr>
      <xdr:cxnSp macro="">
        <xdr:nvCxnSpPr>
          <xdr:cNvPr id="51" name="直線矢印コネクタ 50">
            <a:extLst>
              <a:ext uri="{FF2B5EF4-FFF2-40B4-BE49-F238E27FC236}">
                <a16:creationId xmlns:a16="http://schemas.microsoft.com/office/drawing/2014/main" id="{E1042CD6-AA7F-308F-21DC-531998276688}"/>
              </a:ext>
            </a:extLst>
          </xdr:cNvPr>
          <xdr:cNvCxnSpPr/>
        </xdr:nvCxnSpPr>
        <xdr:spPr>
          <a:xfrm flipH="1">
            <a:off x="249327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" name="直線矢印コネクタ 51">
            <a:extLst>
              <a:ext uri="{FF2B5EF4-FFF2-40B4-BE49-F238E27FC236}">
                <a16:creationId xmlns:a16="http://schemas.microsoft.com/office/drawing/2014/main" id="{A16B0E1B-20CC-9B5E-CF3E-605A08D87FF9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46894</xdr:colOff>
      <xdr:row>41</xdr:row>
      <xdr:rowOff>181707</xdr:rowOff>
    </xdr:from>
    <xdr:to>
      <xdr:col>31</xdr:col>
      <xdr:colOff>261817</xdr:colOff>
      <xdr:row>41</xdr:row>
      <xdr:rowOff>189327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AD41F0A9-4019-4D01-BB51-9C2CD7B53375}"/>
            </a:ext>
          </a:extLst>
        </xdr:cNvPr>
        <xdr:cNvGrpSpPr/>
      </xdr:nvGrpSpPr>
      <xdr:grpSpPr>
        <a:xfrm>
          <a:off x="4078551" y="13831723"/>
          <a:ext cx="5111705" cy="7620"/>
          <a:chOff x="2493270" y="2072640"/>
          <a:chExt cx="5111490" cy="7620"/>
        </a:xfrm>
      </xdr:grpSpPr>
      <xdr:cxnSp macro="">
        <xdr:nvCxnSpPr>
          <xdr:cNvPr id="56" name="直線矢印コネクタ 55">
            <a:extLst>
              <a:ext uri="{FF2B5EF4-FFF2-40B4-BE49-F238E27FC236}">
                <a16:creationId xmlns:a16="http://schemas.microsoft.com/office/drawing/2014/main" id="{277D7E25-5A7A-BDDA-16F3-6FE28FB3A5D0}"/>
              </a:ext>
            </a:extLst>
          </xdr:cNvPr>
          <xdr:cNvCxnSpPr/>
        </xdr:nvCxnSpPr>
        <xdr:spPr>
          <a:xfrm flipH="1">
            <a:off x="249327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" name="直線矢印コネクタ 56">
            <a:extLst>
              <a:ext uri="{FF2B5EF4-FFF2-40B4-BE49-F238E27FC236}">
                <a16:creationId xmlns:a16="http://schemas.microsoft.com/office/drawing/2014/main" id="{7BFF9AE7-8DDB-1FFD-FBE2-A6E1D22A5634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101600</xdr:colOff>
      <xdr:row>9</xdr:row>
      <xdr:rowOff>426720</xdr:rowOff>
    </xdr:from>
    <xdr:to>
      <xdr:col>19</xdr:col>
      <xdr:colOff>190305</xdr:colOff>
      <xdr:row>9</xdr:row>
      <xdr:rowOff>434340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883D7C9E-66A6-4E37-98B4-21B508926E68}"/>
            </a:ext>
          </a:extLst>
        </xdr:cNvPr>
        <xdr:cNvGrpSpPr/>
      </xdr:nvGrpSpPr>
      <xdr:grpSpPr>
        <a:xfrm>
          <a:off x="678857" y="2554055"/>
          <a:ext cx="4985487" cy="9144"/>
          <a:chOff x="2493270" y="2072640"/>
          <a:chExt cx="5111490" cy="7620"/>
        </a:xfrm>
      </xdr:grpSpPr>
      <xdr:cxnSp macro="">
        <xdr:nvCxnSpPr>
          <xdr:cNvPr id="6" name="直線矢印コネクタ 5">
            <a:extLst>
              <a:ext uri="{FF2B5EF4-FFF2-40B4-BE49-F238E27FC236}">
                <a16:creationId xmlns:a16="http://schemas.microsoft.com/office/drawing/2014/main" id="{E66AD42D-0E60-9FBA-9407-CE1B52F56CA9}"/>
              </a:ext>
            </a:extLst>
          </xdr:cNvPr>
          <xdr:cNvCxnSpPr/>
        </xdr:nvCxnSpPr>
        <xdr:spPr>
          <a:xfrm flipH="1">
            <a:off x="249327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1E1CF0DC-98D7-CBF7-3637-10062D56BC38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81280</xdr:colOff>
      <xdr:row>11</xdr:row>
      <xdr:rowOff>213360</xdr:rowOff>
    </xdr:from>
    <xdr:to>
      <xdr:col>19</xdr:col>
      <xdr:colOff>169985</xdr:colOff>
      <xdr:row>11</xdr:row>
      <xdr:rowOff>220980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7882E242-9121-4148-A8E5-C4FD289346B8}"/>
            </a:ext>
          </a:extLst>
        </xdr:cNvPr>
        <xdr:cNvGrpSpPr/>
      </xdr:nvGrpSpPr>
      <xdr:grpSpPr>
        <a:xfrm>
          <a:off x="658537" y="3256167"/>
          <a:ext cx="4983963" cy="7620"/>
          <a:chOff x="2493270" y="2072640"/>
          <a:chExt cx="5111490" cy="7620"/>
        </a:xfrm>
      </xdr:grpSpPr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CB38E403-A47E-A265-21E8-F77912995719}"/>
              </a:ext>
            </a:extLst>
          </xdr:cNvPr>
          <xdr:cNvCxnSpPr/>
        </xdr:nvCxnSpPr>
        <xdr:spPr>
          <a:xfrm flipH="1">
            <a:off x="249327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直線矢印コネクタ 9">
            <a:extLst>
              <a:ext uri="{FF2B5EF4-FFF2-40B4-BE49-F238E27FC236}">
                <a16:creationId xmlns:a16="http://schemas.microsoft.com/office/drawing/2014/main" id="{BE6397D3-2713-8F4E-A285-2B268FBB9597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40640</xdr:colOff>
      <xdr:row>10</xdr:row>
      <xdr:rowOff>203200</xdr:rowOff>
    </xdr:from>
    <xdr:to>
      <xdr:col>31</xdr:col>
      <xdr:colOff>251460</xdr:colOff>
      <xdr:row>10</xdr:row>
      <xdr:rowOff>210820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441E7D30-327C-4743-B0F5-29EF2C873785}"/>
            </a:ext>
          </a:extLst>
        </xdr:cNvPr>
        <xdr:cNvGrpSpPr/>
      </xdr:nvGrpSpPr>
      <xdr:grpSpPr>
        <a:xfrm>
          <a:off x="5799497" y="2785985"/>
          <a:ext cx="3380402" cy="7620"/>
          <a:chOff x="853440" y="2072640"/>
          <a:chExt cx="3375660" cy="7620"/>
        </a:xfrm>
      </xdr:grpSpPr>
      <xdr:cxnSp macro="">
        <xdr:nvCxnSpPr>
          <xdr:cNvPr id="12" name="直線矢印コネクタ 11">
            <a:extLst>
              <a:ext uri="{FF2B5EF4-FFF2-40B4-BE49-F238E27FC236}">
                <a16:creationId xmlns:a16="http://schemas.microsoft.com/office/drawing/2014/main" id="{B3CF237B-3DA0-34E4-A241-AA69B43CC177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直線矢印コネクタ 12">
            <a:extLst>
              <a:ext uri="{FF2B5EF4-FFF2-40B4-BE49-F238E27FC236}">
                <a16:creationId xmlns:a16="http://schemas.microsoft.com/office/drawing/2014/main" id="{4608E794-70EB-1B77-6008-DE52FB0BA0EA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20320</xdr:colOff>
      <xdr:row>10</xdr:row>
      <xdr:rowOff>193040</xdr:rowOff>
    </xdr:from>
    <xdr:to>
      <xdr:col>37</xdr:col>
      <xdr:colOff>261620</xdr:colOff>
      <xdr:row>10</xdr:row>
      <xdr:rowOff>200660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476CBFF5-800C-4A0B-ACC1-F30609EABFF5}"/>
            </a:ext>
          </a:extLst>
        </xdr:cNvPr>
        <xdr:cNvGrpSpPr/>
      </xdr:nvGrpSpPr>
      <xdr:grpSpPr>
        <a:xfrm>
          <a:off x="9232053" y="2774301"/>
          <a:ext cx="1685206" cy="7620"/>
          <a:chOff x="853440" y="2072640"/>
          <a:chExt cx="1668780" cy="7620"/>
        </a:xfrm>
      </xdr:grpSpPr>
      <xdr:cxnSp macro="">
        <xdr:nvCxnSpPr>
          <xdr:cNvPr id="15" name="直線矢印コネクタ 14">
            <a:extLst>
              <a:ext uri="{FF2B5EF4-FFF2-40B4-BE49-F238E27FC236}">
                <a16:creationId xmlns:a16="http://schemas.microsoft.com/office/drawing/2014/main" id="{7E49A1F3-1D54-A1A1-1A83-C8BC2518E422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直線矢印コネクタ 15">
            <a:extLst>
              <a:ext uri="{FF2B5EF4-FFF2-40B4-BE49-F238E27FC236}">
                <a16:creationId xmlns:a16="http://schemas.microsoft.com/office/drawing/2014/main" id="{E04806AF-9DA9-EEEB-A623-CC15A7158943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111760</xdr:colOff>
      <xdr:row>20</xdr:row>
      <xdr:rowOff>213360</xdr:rowOff>
    </xdr:from>
    <xdr:to>
      <xdr:col>25</xdr:col>
      <xdr:colOff>238760</xdr:colOff>
      <xdr:row>20</xdr:row>
      <xdr:rowOff>220980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3AEAD1F8-4411-4B41-AF3D-A2FE74CA0F8D}"/>
            </a:ext>
          </a:extLst>
        </xdr:cNvPr>
        <xdr:cNvGrpSpPr/>
      </xdr:nvGrpSpPr>
      <xdr:grpSpPr>
        <a:xfrm>
          <a:off x="690541" y="6332389"/>
          <a:ext cx="6749458" cy="7620"/>
          <a:chOff x="853440" y="2072640"/>
          <a:chExt cx="6751320" cy="7620"/>
        </a:xfrm>
      </xdr:grpSpPr>
      <xdr:cxnSp macro="">
        <xdr:nvCxnSpPr>
          <xdr:cNvPr id="18" name="直線矢印コネクタ 17">
            <a:extLst>
              <a:ext uri="{FF2B5EF4-FFF2-40B4-BE49-F238E27FC236}">
                <a16:creationId xmlns:a16="http://schemas.microsoft.com/office/drawing/2014/main" id="{923A6E65-5882-A439-DABA-37290A7CC7C6}"/>
              </a:ext>
            </a:extLst>
          </xdr:cNvPr>
          <xdr:cNvCxnSpPr/>
        </xdr:nvCxnSpPr>
        <xdr:spPr>
          <a:xfrm flipH="1">
            <a:off x="85344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直線矢印コネクタ 18">
            <a:extLst>
              <a:ext uri="{FF2B5EF4-FFF2-40B4-BE49-F238E27FC236}">
                <a16:creationId xmlns:a16="http://schemas.microsoft.com/office/drawing/2014/main" id="{ACDBDD0B-1BFA-25F0-16B8-EE17F5F70763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20320</xdr:colOff>
      <xdr:row>20</xdr:row>
      <xdr:rowOff>203200</xdr:rowOff>
    </xdr:from>
    <xdr:to>
      <xdr:col>31</xdr:col>
      <xdr:colOff>261620</xdr:colOff>
      <xdr:row>20</xdr:row>
      <xdr:rowOff>210820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EFDD8633-F2DB-476A-938F-8FDE890ECB98}"/>
            </a:ext>
          </a:extLst>
        </xdr:cNvPr>
        <xdr:cNvGrpSpPr/>
      </xdr:nvGrpSpPr>
      <xdr:grpSpPr>
        <a:xfrm>
          <a:off x="7504853" y="6322229"/>
          <a:ext cx="1685206" cy="7620"/>
          <a:chOff x="853440" y="2072640"/>
          <a:chExt cx="1668780" cy="7620"/>
        </a:xfrm>
      </xdr:grpSpPr>
      <xdr:cxnSp macro="">
        <xdr:nvCxnSpPr>
          <xdr:cNvPr id="21" name="直線矢印コネクタ 20">
            <a:extLst>
              <a:ext uri="{FF2B5EF4-FFF2-40B4-BE49-F238E27FC236}">
                <a16:creationId xmlns:a16="http://schemas.microsoft.com/office/drawing/2014/main" id="{053824DC-9D31-76E3-60DA-F31A8E727A04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直線矢印コネクタ 21">
            <a:extLst>
              <a:ext uri="{FF2B5EF4-FFF2-40B4-BE49-F238E27FC236}">
                <a16:creationId xmlns:a16="http://schemas.microsoft.com/office/drawing/2014/main" id="{11BA7610-0F0E-B04D-680A-47199EEB1C13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60960</xdr:colOff>
      <xdr:row>30</xdr:row>
      <xdr:rowOff>203200</xdr:rowOff>
    </xdr:from>
    <xdr:to>
      <xdr:col>19</xdr:col>
      <xdr:colOff>149665</xdr:colOff>
      <xdr:row>30</xdr:row>
      <xdr:rowOff>210820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BFE5DE02-C9C2-4F2C-BBB3-5A856DA0FB83}"/>
            </a:ext>
          </a:extLst>
        </xdr:cNvPr>
        <xdr:cNvGrpSpPr/>
      </xdr:nvGrpSpPr>
      <xdr:grpSpPr>
        <a:xfrm>
          <a:off x="638217" y="9858474"/>
          <a:ext cx="4983963" cy="7620"/>
          <a:chOff x="2493270" y="2072640"/>
          <a:chExt cx="5111490" cy="7620"/>
        </a:xfrm>
      </xdr:grpSpPr>
      <xdr:cxnSp macro="">
        <xdr:nvCxnSpPr>
          <xdr:cNvPr id="27" name="直線矢印コネクタ 26">
            <a:extLst>
              <a:ext uri="{FF2B5EF4-FFF2-40B4-BE49-F238E27FC236}">
                <a16:creationId xmlns:a16="http://schemas.microsoft.com/office/drawing/2014/main" id="{5EB375C2-8FA3-7C67-F5C3-9ADE035C4437}"/>
              </a:ext>
            </a:extLst>
          </xdr:cNvPr>
          <xdr:cNvCxnSpPr/>
        </xdr:nvCxnSpPr>
        <xdr:spPr>
          <a:xfrm flipH="1">
            <a:off x="249327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直線矢印コネクタ 27">
            <a:extLst>
              <a:ext uri="{FF2B5EF4-FFF2-40B4-BE49-F238E27FC236}">
                <a16:creationId xmlns:a16="http://schemas.microsoft.com/office/drawing/2014/main" id="{A5312541-8F49-A669-46C8-0F9AD1DC1B95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40640</xdr:colOff>
      <xdr:row>30</xdr:row>
      <xdr:rowOff>182880</xdr:rowOff>
    </xdr:from>
    <xdr:to>
      <xdr:col>37</xdr:col>
      <xdr:colOff>251460</xdr:colOff>
      <xdr:row>30</xdr:row>
      <xdr:rowOff>190500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38F3744A-29AC-4BCA-AC7D-7B919A511D2A}"/>
            </a:ext>
          </a:extLst>
        </xdr:cNvPr>
        <xdr:cNvGrpSpPr/>
      </xdr:nvGrpSpPr>
      <xdr:grpSpPr>
        <a:xfrm>
          <a:off x="7526697" y="9836630"/>
          <a:ext cx="3380402" cy="7620"/>
          <a:chOff x="853440" y="2072640"/>
          <a:chExt cx="3375660" cy="7620"/>
        </a:xfrm>
      </xdr:grpSpPr>
      <xdr:cxnSp macro="">
        <xdr:nvCxnSpPr>
          <xdr:cNvPr id="30" name="直線矢印コネクタ 29">
            <a:extLst>
              <a:ext uri="{FF2B5EF4-FFF2-40B4-BE49-F238E27FC236}">
                <a16:creationId xmlns:a16="http://schemas.microsoft.com/office/drawing/2014/main" id="{1682CDE7-4816-99C3-B710-762537A74ED9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直線矢印コネクタ 30">
            <a:extLst>
              <a:ext uri="{FF2B5EF4-FFF2-40B4-BE49-F238E27FC236}">
                <a16:creationId xmlns:a16="http://schemas.microsoft.com/office/drawing/2014/main" id="{6C1F0793-AEB2-7CBE-D18C-8286074EDAA3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9</xdr:row>
      <xdr:rowOff>426720</xdr:rowOff>
    </xdr:from>
    <xdr:to>
      <xdr:col>19</xdr:col>
      <xdr:colOff>180145</xdr:colOff>
      <xdr:row>9</xdr:row>
      <xdr:rowOff>434340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B5C00720-DEB4-42C6-BB91-BA4F6FF811B4}"/>
            </a:ext>
          </a:extLst>
        </xdr:cNvPr>
        <xdr:cNvGrpSpPr/>
      </xdr:nvGrpSpPr>
      <xdr:grpSpPr>
        <a:xfrm>
          <a:off x="668697" y="2554055"/>
          <a:ext cx="4983963" cy="9144"/>
          <a:chOff x="2493270" y="2072640"/>
          <a:chExt cx="5111490" cy="7620"/>
        </a:xfrm>
      </xdr:grpSpPr>
      <xdr:cxnSp macro="">
        <xdr:nvCxnSpPr>
          <xdr:cNvPr id="3" name="直線矢印コネクタ 2">
            <a:extLst>
              <a:ext uri="{FF2B5EF4-FFF2-40B4-BE49-F238E27FC236}">
                <a16:creationId xmlns:a16="http://schemas.microsoft.com/office/drawing/2014/main" id="{8448409E-75B1-CFC4-D5D3-D2C27AC8430C}"/>
              </a:ext>
            </a:extLst>
          </xdr:cNvPr>
          <xdr:cNvCxnSpPr/>
        </xdr:nvCxnSpPr>
        <xdr:spPr>
          <a:xfrm flipH="1">
            <a:off x="249327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" name="直線矢印コネクタ 3">
            <a:extLst>
              <a:ext uri="{FF2B5EF4-FFF2-40B4-BE49-F238E27FC236}">
                <a16:creationId xmlns:a16="http://schemas.microsoft.com/office/drawing/2014/main" id="{44D55983-12AD-EB5E-C88A-33E8468C1153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81280</xdr:colOff>
      <xdr:row>11</xdr:row>
      <xdr:rowOff>203200</xdr:rowOff>
    </xdr:from>
    <xdr:to>
      <xdr:col>19</xdr:col>
      <xdr:colOff>169985</xdr:colOff>
      <xdr:row>11</xdr:row>
      <xdr:rowOff>210820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00AC5186-C212-4FDB-8509-A7E6BEF0F671}"/>
            </a:ext>
          </a:extLst>
        </xdr:cNvPr>
        <xdr:cNvGrpSpPr/>
      </xdr:nvGrpSpPr>
      <xdr:grpSpPr>
        <a:xfrm>
          <a:off x="658537" y="3246007"/>
          <a:ext cx="4983963" cy="7620"/>
          <a:chOff x="2493270" y="2072640"/>
          <a:chExt cx="5111490" cy="7620"/>
        </a:xfrm>
      </xdr:grpSpPr>
      <xdr:cxnSp macro="">
        <xdr:nvCxnSpPr>
          <xdr:cNvPr id="6" name="直線矢印コネクタ 5">
            <a:extLst>
              <a:ext uri="{FF2B5EF4-FFF2-40B4-BE49-F238E27FC236}">
                <a16:creationId xmlns:a16="http://schemas.microsoft.com/office/drawing/2014/main" id="{05557742-11C3-334C-2F30-8508D2D8CD4F}"/>
              </a:ext>
            </a:extLst>
          </xdr:cNvPr>
          <xdr:cNvCxnSpPr/>
        </xdr:nvCxnSpPr>
        <xdr:spPr>
          <a:xfrm flipH="1">
            <a:off x="249327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B35A4BE9-BCB9-54AC-71B0-FA8AFD85F564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20320</xdr:colOff>
      <xdr:row>10</xdr:row>
      <xdr:rowOff>213360</xdr:rowOff>
    </xdr:from>
    <xdr:to>
      <xdr:col>31</xdr:col>
      <xdr:colOff>231140</xdr:colOff>
      <xdr:row>10</xdr:row>
      <xdr:rowOff>220980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95A858CF-E5DC-48D7-9C5A-457CBD99DA2A}"/>
            </a:ext>
          </a:extLst>
        </xdr:cNvPr>
        <xdr:cNvGrpSpPr/>
      </xdr:nvGrpSpPr>
      <xdr:grpSpPr>
        <a:xfrm>
          <a:off x="5777653" y="2796145"/>
          <a:ext cx="3381926" cy="7620"/>
          <a:chOff x="853440" y="2072640"/>
          <a:chExt cx="3375660" cy="7620"/>
        </a:xfrm>
      </xdr:grpSpPr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70AC5E69-4580-26FB-1ABB-A5DE3DA9FD56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直線矢印コネクタ 9">
            <a:extLst>
              <a:ext uri="{FF2B5EF4-FFF2-40B4-BE49-F238E27FC236}">
                <a16:creationId xmlns:a16="http://schemas.microsoft.com/office/drawing/2014/main" id="{1579CD81-D00B-385D-DDBB-248B21C92C61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10160</xdr:colOff>
      <xdr:row>10</xdr:row>
      <xdr:rowOff>203200</xdr:rowOff>
    </xdr:from>
    <xdr:to>
      <xdr:col>37</xdr:col>
      <xdr:colOff>251460</xdr:colOff>
      <xdr:row>10</xdr:row>
      <xdr:rowOff>210820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5BA37299-8454-4C27-9F9A-08370818D6E4}"/>
            </a:ext>
          </a:extLst>
        </xdr:cNvPr>
        <xdr:cNvGrpSpPr/>
      </xdr:nvGrpSpPr>
      <xdr:grpSpPr>
        <a:xfrm>
          <a:off x="9221893" y="2785985"/>
          <a:ext cx="1685206" cy="7620"/>
          <a:chOff x="853440" y="2072640"/>
          <a:chExt cx="1668780" cy="7620"/>
        </a:xfrm>
      </xdr:grpSpPr>
      <xdr:cxnSp macro="">
        <xdr:nvCxnSpPr>
          <xdr:cNvPr id="12" name="直線矢印コネクタ 11">
            <a:extLst>
              <a:ext uri="{FF2B5EF4-FFF2-40B4-BE49-F238E27FC236}">
                <a16:creationId xmlns:a16="http://schemas.microsoft.com/office/drawing/2014/main" id="{CDDF2EC9-9108-BD36-40B3-EB9E90A10411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直線矢印コネクタ 12">
            <a:extLst>
              <a:ext uri="{FF2B5EF4-FFF2-40B4-BE49-F238E27FC236}">
                <a16:creationId xmlns:a16="http://schemas.microsoft.com/office/drawing/2014/main" id="{E89D3FD6-F49A-A33D-8935-903A7DF75F79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20320</xdr:colOff>
      <xdr:row>20</xdr:row>
      <xdr:rowOff>10160</xdr:rowOff>
    </xdr:from>
    <xdr:to>
      <xdr:col>37</xdr:col>
      <xdr:colOff>261620</xdr:colOff>
      <xdr:row>20</xdr:row>
      <xdr:rowOff>17780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37A69BB4-05D0-47FE-8F79-4965FDDB82C9}"/>
            </a:ext>
          </a:extLst>
        </xdr:cNvPr>
        <xdr:cNvGrpSpPr/>
      </xdr:nvGrpSpPr>
      <xdr:grpSpPr>
        <a:xfrm>
          <a:off x="9232053" y="6123093"/>
          <a:ext cx="1685206" cy="7620"/>
          <a:chOff x="853440" y="2072640"/>
          <a:chExt cx="1668780" cy="7620"/>
        </a:xfrm>
      </xdr:grpSpPr>
      <xdr:cxnSp macro="">
        <xdr:nvCxnSpPr>
          <xdr:cNvPr id="15" name="直線矢印コネクタ 14">
            <a:extLst>
              <a:ext uri="{FF2B5EF4-FFF2-40B4-BE49-F238E27FC236}">
                <a16:creationId xmlns:a16="http://schemas.microsoft.com/office/drawing/2014/main" id="{D20143B0-03DC-F1DE-66B0-F77F1E4DCFEE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直線矢印コネクタ 15">
            <a:extLst>
              <a:ext uri="{FF2B5EF4-FFF2-40B4-BE49-F238E27FC236}">
                <a16:creationId xmlns:a16="http://schemas.microsoft.com/office/drawing/2014/main" id="{2A408850-A0F2-45F7-8DEB-F1EE31E90685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30480</xdr:colOff>
      <xdr:row>21</xdr:row>
      <xdr:rowOff>193040</xdr:rowOff>
    </xdr:from>
    <xdr:to>
      <xdr:col>37</xdr:col>
      <xdr:colOff>271780</xdr:colOff>
      <xdr:row>21</xdr:row>
      <xdr:rowOff>200660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AA95A267-42DC-4FEF-8C1C-4140E8C5CE96}"/>
            </a:ext>
          </a:extLst>
        </xdr:cNvPr>
        <xdr:cNvGrpSpPr/>
      </xdr:nvGrpSpPr>
      <xdr:grpSpPr>
        <a:xfrm>
          <a:off x="9242213" y="6770568"/>
          <a:ext cx="1686730" cy="7620"/>
          <a:chOff x="853440" y="2072640"/>
          <a:chExt cx="1668780" cy="7620"/>
        </a:xfrm>
      </xdr:grpSpPr>
      <xdr:cxnSp macro="">
        <xdr:nvCxnSpPr>
          <xdr:cNvPr id="18" name="直線矢印コネクタ 17">
            <a:extLst>
              <a:ext uri="{FF2B5EF4-FFF2-40B4-BE49-F238E27FC236}">
                <a16:creationId xmlns:a16="http://schemas.microsoft.com/office/drawing/2014/main" id="{8BEC2A7E-51EB-DA3C-540B-8E97DB514C4A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直線矢印コネクタ 18">
            <a:extLst>
              <a:ext uri="{FF2B5EF4-FFF2-40B4-BE49-F238E27FC236}">
                <a16:creationId xmlns:a16="http://schemas.microsoft.com/office/drawing/2014/main" id="{D1A3632E-1D92-854D-FDDD-9C8F8943BB8E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71120</xdr:colOff>
      <xdr:row>20</xdr:row>
      <xdr:rowOff>193040</xdr:rowOff>
    </xdr:from>
    <xdr:to>
      <xdr:col>32</xdr:col>
      <xdr:colOff>17780</xdr:colOff>
      <xdr:row>20</xdr:row>
      <xdr:rowOff>200660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1E539C74-FDD0-41BD-9527-E20B68EC3689}"/>
            </a:ext>
          </a:extLst>
        </xdr:cNvPr>
        <xdr:cNvGrpSpPr/>
      </xdr:nvGrpSpPr>
      <xdr:grpSpPr>
        <a:xfrm>
          <a:off x="7557177" y="6310545"/>
          <a:ext cx="1672336" cy="7620"/>
          <a:chOff x="853440" y="2072640"/>
          <a:chExt cx="1668780" cy="7620"/>
        </a:xfrm>
      </xdr:grpSpPr>
      <xdr:cxnSp macro="">
        <xdr:nvCxnSpPr>
          <xdr:cNvPr id="21" name="直線矢印コネクタ 20">
            <a:extLst>
              <a:ext uri="{FF2B5EF4-FFF2-40B4-BE49-F238E27FC236}">
                <a16:creationId xmlns:a16="http://schemas.microsoft.com/office/drawing/2014/main" id="{1ED8B932-CCA4-9A2D-5943-2487E02A1815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直線矢印コネクタ 21">
            <a:extLst>
              <a:ext uri="{FF2B5EF4-FFF2-40B4-BE49-F238E27FC236}">
                <a16:creationId xmlns:a16="http://schemas.microsoft.com/office/drawing/2014/main" id="{BDBEAAA9-795B-72C2-0F9A-A77D7791901A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81280</xdr:colOff>
      <xdr:row>20</xdr:row>
      <xdr:rowOff>203200</xdr:rowOff>
    </xdr:from>
    <xdr:to>
      <xdr:col>25</xdr:col>
      <xdr:colOff>208280</xdr:colOff>
      <xdr:row>20</xdr:row>
      <xdr:rowOff>210820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5E5B9911-3D64-43F2-A418-70F46CB9E933}"/>
            </a:ext>
          </a:extLst>
        </xdr:cNvPr>
        <xdr:cNvGrpSpPr/>
      </xdr:nvGrpSpPr>
      <xdr:grpSpPr>
        <a:xfrm>
          <a:off x="658537" y="6322229"/>
          <a:ext cx="6750982" cy="7620"/>
          <a:chOff x="853440" y="2072640"/>
          <a:chExt cx="6751320" cy="7620"/>
        </a:xfrm>
      </xdr:grpSpPr>
      <xdr:cxnSp macro="">
        <xdr:nvCxnSpPr>
          <xdr:cNvPr id="24" name="直線矢印コネクタ 23">
            <a:extLst>
              <a:ext uri="{FF2B5EF4-FFF2-40B4-BE49-F238E27FC236}">
                <a16:creationId xmlns:a16="http://schemas.microsoft.com/office/drawing/2014/main" id="{30837CFB-5ED8-8B54-3ED1-E1CB377F7B78}"/>
              </a:ext>
            </a:extLst>
          </xdr:cNvPr>
          <xdr:cNvCxnSpPr/>
        </xdr:nvCxnSpPr>
        <xdr:spPr>
          <a:xfrm flipH="1">
            <a:off x="85344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直線矢印コネクタ 24">
            <a:extLst>
              <a:ext uri="{FF2B5EF4-FFF2-40B4-BE49-F238E27FC236}">
                <a16:creationId xmlns:a16="http://schemas.microsoft.com/office/drawing/2014/main" id="{52D60059-551F-B81F-5001-B42FA1FD36D4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40640</xdr:colOff>
      <xdr:row>30</xdr:row>
      <xdr:rowOff>193040</xdr:rowOff>
    </xdr:from>
    <xdr:to>
      <xdr:col>37</xdr:col>
      <xdr:colOff>167640</xdr:colOff>
      <xdr:row>30</xdr:row>
      <xdr:rowOff>200660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381BD4CB-A351-4B7D-9683-DD0C74815106}"/>
            </a:ext>
          </a:extLst>
        </xdr:cNvPr>
        <xdr:cNvGrpSpPr/>
      </xdr:nvGrpSpPr>
      <xdr:grpSpPr>
        <a:xfrm>
          <a:off x="4072297" y="9846790"/>
          <a:ext cx="6749458" cy="7620"/>
          <a:chOff x="853440" y="2072640"/>
          <a:chExt cx="6751320" cy="7620"/>
        </a:xfrm>
      </xdr:grpSpPr>
      <xdr:cxnSp macro="">
        <xdr:nvCxnSpPr>
          <xdr:cNvPr id="27" name="直線矢印コネクタ 26">
            <a:extLst>
              <a:ext uri="{FF2B5EF4-FFF2-40B4-BE49-F238E27FC236}">
                <a16:creationId xmlns:a16="http://schemas.microsoft.com/office/drawing/2014/main" id="{186CE970-9A4C-7794-9698-0C304B2EA8FA}"/>
              </a:ext>
            </a:extLst>
          </xdr:cNvPr>
          <xdr:cNvCxnSpPr/>
        </xdr:nvCxnSpPr>
        <xdr:spPr>
          <a:xfrm flipH="1">
            <a:off x="85344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直線矢印コネクタ 27">
            <a:extLst>
              <a:ext uri="{FF2B5EF4-FFF2-40B4-BE49-F238E27FC236}">
                <a16:creationId xmlns:a16="http://schemas.microsoft.com/office/drawing/2014/main" id="{31950D95-2C22-51C2-4AFB-83FCDB160D79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172720</xdr:colOff>
      <xdr:row>40</xdr:row>
      <xdr:rowOff>193040</xdr:rowOff>
    </xdr:from>
    <xdr:to>
      <xdr:col>32</xdr:col>
      <xdr:colOff>5080</xdr:colOff>
      <xdr:row>40</xdr:row>
      <xdr:rowOff>200660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94F73CD7-436F-4B83-9742-4EB23EAAE3FC}"/>
            </a:ext>
          </a:extLst>
        </xdr:cNvPr>
        <xdr:cNvGrpSpPr/>
      </xdr:nvGrpSpPr>
      <xdr:grpSpPr>
        <a:xfrm>
          <a:off x="2478701" y="13383034"/>
          <a:ext cx="6738112" cy="7620"/>
          <a:chOff x="853440" y="2072640"/>
          <a:chExt cx="6751320" cy="7620"/>
        </a:xfrm>
      </xdr:grpSpPr>
      <xdr:cxnSp macro="">
        <xdr:nvCxnSpPr>
          <xdr:cNvPr id="30" name="直線矢印コネクタ 29">
            <a:extLst>
              <a:ext uri="{FF2B5EF4-FFF2-40B4-BE49-F238E27FC236}">
                <a16:creationId xmlns:a16="http://schemas.microsoft.com/office/drawing/2014/main" id="{52108436-92BF-FA42-C2EA-CFB1DD11F171}"/>
              </a:ext>
            </a:extLst>
          </xdr:cNvPr>
          <xdr:cNvCxnSpPr/>
        </xdr:nvCxnSpPr>
        <xdr:spPr>
          <a:xfrm flipH="1">
            <a:off x="85344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直線矢印コネクタ 30">
            <a:extLst>
              <a:ext uri="{FF2B5EF4-FFF2-40B4-BE49-F238E27FC236}">
                <a16:creationId xmlns:a16="http://schemas.microsoft.com/office/drawing/2014/main" id="{2148443D-F92C-781A-035E-A4CAC1F9D2A3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2</xdr:row>
      <xdr:rowOff>91440</xdr:rowOff>
    </xdr:from>
    <xdr:to>
      <xdr:col>3</xdr:col>
      <xdr:colOff>190500</xdr:colOff>
      <xdr:row>2</xdr:row>
      <xdr:rowOff>99060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AA10F964-823B-4ED9-B011-449A737980C8}"/>
            </a:ext>
          </a:extLst>
        </xdr:cNvPr>
        <xdr:cNvGrpSpPr/>
      </xdr:nvGrpSpPr>
      <xdr:grpSpPr>
        <a:xfrm>
          <a:off x="544068" y="564541"/>
          <a:ext cx="1705650" cy="7620"/>
          <a:chOff x="853440" y="2072640"/>
          <a:chExt cx="1668780" cy="7620"/>
        </a:xfrm>
      </xdr:grpSpPr>
      <xdr:cxnSp macro="">
        <xdr:nvCxnSpPr>
          <xdr:cNvPr id="3" name="直線矢印コネクタ 2">
            <a:extLst>
              <a:ext uri="{FF2B5EF4-FFF2-40B4-BE49-F238E27FC236}">
                <a16:creationId xmlns:a16="http://schemas.microsoft.com/office/drawing/2014/main" id="{28522EB6-6180-5E8C-FF2A-7A25C9A48D7F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" name="直線矢印コネクタ 3">
            <a:extLst>
              <a:ext uri="{FF2B5EF4-FFF2-40B4-BE49-F238E27FC236}">
                <a16:creationId xmlns:a16="http://schemas.microsoft.com/office/drawing/2014/main" id="{F140A458-342D-CC09-3C02-C51AAF8568C3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251460</xdr:colOff>
      <xdr:row>4</xdr:row>
      <xdr:rowOff>0</xdr:rowOff>
    </xdr:from>
    <xdr:to>
      <xdr:col>5</xdr:col>
      <xdr:colOff>274320</xdr:colOff>
      <xdr:row>4</xdr:row>
      <xdr:rowOff>7620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78006ECA-11E7-427A-BD51-8817978AF0F9}"/>
            </a:ext>
          </a:extLst>
        </xdr:cNvPr>
        <xdr:cNvGrpSpPr/>
      </xdr:nvGrpSpPr>
      <xdr:grpSpPr>
        <a:xfrm>
          <a:off x="256032" y="940106"/>
          <a:ext cx="3448794" cy="7620"/>
          <a:chOff x="853440" y="2072640"/>
          <a:chExt cx="3375660" cy="7620"/>
        </a:xfrm>
      </xdr:grpSpPr>
      <xdr:cxnSp macro="">
        <xdr:nvCxnSpPr>
          <xdr:cNvPr id="6" name="直線矢印コネクタ 5">
            <a:extLst>
              <a:ext uri="{FF2B5EF4-FFF2-40B4-BE49-F238E27FC236}">
                <a16:creationId xmlns:a16="http://schemas.microsoft.com/office/drawing/2014/main" id="{40BB8AB0-ABF1-E544-9C1F-6986E88DF89E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950D0F24-93EA-CF5E-C742-C8156C1E2DCE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106680</xdr:colOff>
      <xdr:row>6</xdr:row>
      <xdr:rowOff>91440</xdr:rowOff>
    </xdr:from>
    <xdr:to>
      <xdr:col>10</xdr:col>
      <xdr:colOff>152400</xdr:colOff>
      <xdr:row>6</xdr:row>
      <xdr:rowOff>99060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AF3AC4C0-E871-46FE-BA4F-53B38F05E7B5}"/>
            </a:ext>
          </a:extLst>
        </xdr:cNvPr>
        <xdr:cNvGrpSpPr/>
      </xdr:nvGrpSpPr>
      <xdr:grpSpPr>
        <a:xfrm>
          <a:off x="108204" y="1504647"/>
          <a:ext cx="6896063" cy="7620"/>
          <a:chOff x="853440" y="2072640"/>
          <a:chExt cx="6751320" cy="7620"/>
        </a:xfrm>
      </xdr:grpSpPr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2D580688-1012-DF1A-D602-1FE818345692}"/>
              </a:ext>
            </a:extLst>
          </xdr:cNvPr>
          <xdr:cNvCxnSpPr/>
        </xdr:nvCxnSpPr>
        <xdr:spPr>
          <a:xfrm flipH="1">
            <a:off x="85344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直線矢印コネクタ 9">
            <a:extLst>
              <a:ext uri="{FF2B5EF4-FFF2-40B4-BE49-F238E27FC236}">
                <a16:creationId xmlns:a16="http://schemas.microsoft.com/office/drawing/2014/main" id="{0E0C17D1-D15D-61EE-6CF6-60EBB23CA3F7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274320</xdr:colOff>
      <xdr:row>5</xdr:row>
      <xdr:rowOff>121920</xdr:rowOff>
    </xdr:from>
    <xdr:to>
      <xdr:col>7</xdr:col>
      <xdr:colOff>571305</xdr:colOff>
      <xdr:row>5</xdr:row>
      <xdr:rowOff>129540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0BA88E41-A3A7-4376-9C14-E2CE999E4BBE}"/>
            </a:ext>
          </a:extLst>
        </xdr:cNvPr>
        <xdr:cNvGrpSpPr/>
      </xdr:nvGrpSpPr>
      <xdr:grpSpPr>
        <a:xfrm>
          <a:off x="280416" y="1300101"/>
          <a:ext cx="5097254" cy="7620"/>
          <a:chOff x="2493270" y="2072640"/>
          <a:chExt cx="5111490" cy="7620"/>
        </a:xfrm>
      </xdr:grpSpPr>
      <xdr:cxnSp macro="">
        <xdr:nvCxnSpPr>
          <xdr:cNvPr id="12" name="直線矢印コネクタ 11">
            <a:extLst>
              <a:ext uri="{FF2B5EF4-FFF2-40B4-BE49-F238E27FC236}">
                <a16:creationId xmlns:a16="http://schemas.microsoft.com/office/drawing/2014/main" id="{28317793-AB46-9C72-5E31-1802B0B08279}"/>
              </a:ext>
            </a:extLst>
          </xdr:cNvPr>
          <xdr:cNvCxnSpPr/>
        </xdr:nvCxnSpPr>
        <xdr:spPr>
          <a:xfrm flipH="1">
            <a:off x="249327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直線矢印コネクタ 12">
            <a:extLst>
              <a:ext uri="{FF2B5EF4-FFF2-40B4-BE49-F238E27FC236}">
                <a16:creationId xmlns:a16="http://schemas.microsoft.com/office/drawing/2014/main" id="{499012CC-3FAB-9380-366D-70644053CFB2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8EC6-B0AA-470E-A6D9-CF91DD39963A}">
  <sheetPr>
    <pageSetUpPr fitToPage="1"/>
  </sheetPr>
  <dimension ref="A1:AL50"/>
  <sheetViews>
    <sheetView view="pageBreakPreview" zoomScale="60" zoomScaleNormal="100" zoomScalePageLayoutView="75" workbookViewId="0">
      <selection activeCell="BE49" sqref="BE49"/>
    </sheetView>
  </sheetViews>
  <sheetFormatPr defaultColWidth="3.69921875" defaultRowHeight="18"/>
  <cols>
    <col min="1" max="1" width="3.796875" style="1" customWidth="1"/>
    <col min="2" max="3" width="3.69921875" style="1" customWidth="1"/>
    <col min="4" max="4" width="3.69921875" style="1"/>
    <col min="5" max="5" width="3.69921875" style="1" customWidth="1"/>
    <col min="6" max="14" width="3.69921875" style="1"/>
    <col min="15" max="15" width="3.69921875" style="1" customWidth="1"/>
    <col min="16" max="16384" width="3.69921875" style="1"/>
  </cols>
  <sheetData>
    <row r="1" spans="1:38">
      <c r="A1" s="40" t="s">
        <v>40</v>
      </c>
      <c r="B1" s="40"/>
      <c r="C1" s="78" t="s">
        <v>41</v>
      </c>
      <c r="D1" s="78"/>
      <c r="E1" s="78"/>
      <c r="F1" s="78"/>
      <c r="G1" s="78"/>
      <c r="H1" s="78"/>
      <c r="I1" s="78"/>
      <c r="J1" s="78"/>
      <c r="L1" s="40" t="s">
        <v>51</v>
      </c>
      <c r="M1" s="40"/>
      <c r="N1" s="40"/>
      <c r="O1" s="40"/>
      <c r="P1" s="40"/>
      <c r="Q1" s="40"/>
      <c r="R1" s="40"/>
      <c r="S1" s="40"/>
      <c r="T1" s="40"/>
      <c r="U1" s="40"/>
      <c r="W1" s="40" t="s">
        <v>44</v>
      </c>
      <c r="X1" s="40"/>
      <c r="Y1" s="40"/>
      <c r="Z1" s="40"/>
      <c r="AA1" s="78" t="s">
        <v>47</v>
      </c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</row>
    <row r="2" spans="1:38">
      <c r="A2" s="40" t="s">
        <v>42</v>
      </c>
      <c r="B2" s="40"/>
      <c r="C2" s="78" t="s">
        <v>43</v>
      </c>
      <c r="D2" s="78"/>
      <c r="E2" s="78"/>
      <c r="F2" s="78"/>
      <c r="G2" s="78"/>
      <c r="H2" s="78"/>
      <c r="I2" s="78"/>
      <c r="J2" s="78"/>
      <c r="L2" s="78" t="s">
        <v>52</v>
      </c>
      <c r="M2" s="78"/>
      <c r="N2" s="78"/>
      <c r="O2" s="78"/>
      <c r="P2" s="78"/>
      <c r="Q2" s="78"/>
      <c r="R2" s="78" t="s">
        <v>54</v>
      </c>
      <c r="S2" s="78"/>
      <c r="T2" s="78"/>
      <c r="U2" s="78"/>
      <c r="W2" s="40" t="s">
        <v>45</v>
      </c>
      <c r="X2" s="40"/>
      <c r="Y2" s="40"/>
      <c r="Z2" s="40"/>
      <c r="AA2" s="78" t="s">
        <v>48</v>
      </c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</row>
    <row r="3" spans="1:38">
      <c r="L3" s="78" t="s">
        <v>53</v>
      </c>
      <c r="M3" s="78"/>
      <c r="N3" s="78"/>
      <c r="O3" s="78"/>
      <c r="P3" s="78"/>
      <c r="Q3" s="78"/>
      <c r="R3" s="78" t="s">
        <v>55</v>
      </c>
      <c r="S3" s="78"/>
      <c r="T3" s="78"/>
      <c r="U3" s="78"/>
      <c r="W3" s="40" t="s">
        <v>46</v>
      </c>
      <c r="X3" s="40"/>
      <c r="Y3" s="40"/>
      <c r="Z3" s="40"/>
      <c r="AA3" s="78" t="s">
        <v>49</v>
      </c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</row>
    <row r="4" spans="1:38">
      <c r="W4" s="40"/>
      <c r="X4" s="40"/>
      <c r="Y4" s="40"/>
      <c r="Z4" s="40"/>
      <c r="AA4" s="78" t="s">
        <v>50</v>
      </c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</row>
    <row r="8" spans="1:38">
      <c r="A8" s="1" t="s">
        <v>56</v>
      </c>
      <c r="D8" s="77">
        <v>0.41666666666666669</v>
      </c>
      <c r="E8" s="77"/>
      <c r="F8" s="77"/>
    </row>
    <row r="9" spans="1:38" s="2" customFormat="1" ht="18.600000000000001" thickBot="1">
      <c r="A9" s="41"/>
      <c r="B9" s="41"/>
      <c r="C9" s="39">
        <f>D8</f>
        <v>0.41666666666666669</v>
      </c>
      <c r="D9" s="39"/>
      <c r="E9" s="39"/>
      <c r="F9" s="39"/>
      <c r="G9" s="39"/>
      <c r="H9" s="42"/>
      <c r="I9" s="38">
        <f>C9+'参照用（触らない）'!$A$2</f>
        <v>0.4375</v>
      </c>
      <c r="J9" s="39"/>
      <c r="K9" s="39"/>
      <c r="L9" s="39"/>
      <c r="M9" s="39"/>
      <c r="N9" s="39"/>
      <c r="O9" s="39">
        <f>C9+'参照用（触らない）'!$A$1</f>
        <v>0.45833333333333337</v>
      </c>
      <c r="P9" s="39"/>
      <c r="Q9" s="39"/>
      <c r="R9" s="39"/>
      <c r="S9" s="39"/>
      <c r="T9" s="42"/>
      <c r="U9" s="38">
        <f>O9+'参照用（触らない）'!$A$2</f>
        <v>0.47916666666666669</v>
      </c>
      <c r="V9" s="39"/>
      <c r="W9" s="39"/>
      <c r="X9" s="39"/>
      <c r="Y9" s="39"/>
      <c r="Z9" s="39"/>
      <c r="AA9" s="39">
        <f>O9+'参照用（触らない）'!$A$1</f>
        <v>0.5</v>
      </c>
      <c r="AB9" s="39"/>
      <c r="AC9" s="39"/>
      <c r="AD9" s="39"/>
      <c r="AE9" s="39"/>
      <c r="AF9" s="42"/>
      <c r="AG9" s="38">
        <f>AA9+'参照用（触らない）'!$A$2</f>
        <v>0.52083333333333337</v>
      </c>
      <c r="AH9" s="39"/>
      <c r="AI9" s="39"/>
      <c r="AJ9" s="39"/>
      <c r="AK9" s="39"/>
      <c r="AL9" s="39"/>
    </row>
    <row r="10" spans="1:38" ht="35.4" customHeight="1" thickTop="1">
      <c r="A10" s="30" t="s">
        <v>38</v>
      </c>
      <c r="B10" s="30"/>
      <c r="C10" s="64" t="s">
        <v>61</v>
      </c>
      <c r="D10" s="64"/>
      <c r="E10" s="64"/>
      <c r="F10" s="64"/>
      <c r="G10" s="64"/>
      <c r="H10" s="72"/>
      <c r="I10" s="63" t="s">
        <v>57</v>
      </c>
      <c r="J10" s="64"/>
      <c r="K10" s="64"/>
      <c r="L10" s="64"/>
      <c r="M10" s="64"/>
      <c r="N10" s="64"/>
      <c r="O10" s="64" t="s">
        <v>58</v>
      </c>
      <c r="P10" s="64"/>
      <c r="Q10" s="64"/>
      <c r="R10" s="64"/>
      <c r="S10" s="64"/>
      <c r="T10" s="72"/>
      <c r="U10" s="63" t="s">
        <v>62</v>
      </c>
      <c r="V10" s="64"/>
      <c r="W10" s="64"/>
      <c r="X10" s="64"/>
      <c r="Y10" s="64"/>
      <c r="Z10" s="64"/>
      <c r="AA10" s="46" t="s">
        <v>63</v>
      </c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5"/>
    </row>
    <row r="11" spans="1:38" ht="35.4" customHeight="1">
      <c r="A11" s="40" t="s">
        <v>15</v>
      </c>
      <c r="B11" s="40"/>
      <c r="C11" s="66"/>
      <c r="D11" s="66"/>
      <c r="E11" s="66"/>
      <c r="F11" s="66"/>
      <c r="G11" s="66"/>
      <c r="H11" s="73"/>
      <c r="I11" s="65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73"/>
      <c r="U11" s="65"/>
      <c r="V11" s="66"/>
      <c r="W11" s="66"/>
      <c r="X11" s="66"/>
      <c r="Y11" s="66"/>
      <c r="Z11" s="66"/>
      <c r="AA11" s="60"/>
      <c r="AB11" s="60"/>
      <c r="AC11" s="60"/>
      <c r="AD11" s="60"/>
      <c r="AE11" s="60"/>
      <c r="AF11" s="61"/>
      <c r="AG11" s="62"/>
      <c r="AH11" s="60"/>
      <c r="AI11" s="60"/>
      <c r="AJ11" s="60"/>
      <c r="AK11" s="60"/>
      <c r="AL11" s="60"/>
    </row>
    <row r="12" spans="1:38" ht="35.4" customHeight="1" thickBot="1">
      <c r="A12" s="35" t="s">
        <v>17</v>
      </c>
      <c r="B12" s="35"/>
      <c r="C12" s="74"/>
      <c r="D12" s="74"/>
      <c r="E12" s="74"/>
      <c r="F12" s="74"/>
      <c r="G12" s="74"/>
      <c r="H12" s="75"/>
      <c r="I12" s="76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5"/>
      <c r="U12" s="67" t="s">
        <v>67</v>
      </c>
      <c r="V12" s="68"/>
      <c r="W12" s="68"/>
      <c r="X12" s="68"/>
      <c r="Y12" s="68"/>
      <c r="Z12" s="68"/>
      <c r="AA12" s="13" t="s">
        <v>68</v>
      </c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5"/>
    </row>
    <row r="13" spans="1:38" ht="57" customHeight="1" thickTop="1">
      <c r="A13" s="30" t="s">
        <v>39</v>
      </c>
      <c r="B13" s="30"/>
      <c r="C13" s="55" t="s">
        <v>111</v>
      </c>
      <c r="D13" s="55"/>
      <c r="E13" s="55"/>
      <c r="F13" s="55"/>
      <c r="G13" s="55"/>
      <c r="H13" s="56"/>
      <c r="I13" s="50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7"/>
      <c r="U13" s="69" t="s">
        <v>112</v>
      </c>
      <c r="V13" s="70"/>
      <c r="W13" s="70"/>
      <c r="X13" s="70"/>
      <c r="Y13" s="70"/>
      <c r="Z13" s="71"/>
      <c r="AA13" s="51"/>
      <c r="AB13" s="51"/>
      <c r="AC13" s="51"/>
      <c r="AD13" s="51"/>
      <c r="AE13" s="51"/>
      <c r="AF13" s="57"/>
      <c r="AG13" s="50"/>
      <c r="AH13" s="51"/>
      <c r="AI13" s="51"/>
      <c r="AJ13" s="51"/>
      <c r="AK13" s="51"/>
      <c r="AL13" s="51"/>
    </row>
    <row r="19" spans="1:38" ht="18.600000000000001" thickBot="1">
      <c r="A19" s="41"/>
      <c r="B19" s="41"/>
      <c r="C19" s="39">
        <f>AA9+'参照用（触らない）'!$A$1</f>
        <v>0.54166666666666663</v>
      </c>
      <c r="D19" s="39"/>
      <c r="E19" s="39"/>
      <c r="F19" s="39"/>
      <c r="G19" s="39"/>
      <c r="H19" s="42"/>
      <c r="I19" s="38">
        <f>C19+'参照用（触らない）'!$A$2</f>
        <v>0.5625</v>
      </c>
      <c r="J19" s="39"/>
      <c r="K19" s="39"/>
      <c r="L19" s="39"/>
      <c r="M19" s="39"/>
      <c r="N19" s="39"/>
      <c r="O19" s="39">
        <f>C19+'参照用（触らない）'!$A$1</f>
        <v>0.58333333333333326</v>
      </c>
      <c r="P19" s="39"/>
      <c r="Q19" s="39"/>
      <c r="R19" s="39"/>
      <c r="S19" s="39"/>
      <c r="T19" s="42"/>
      <c r="U19" s="38">
        <f>O19+'参照用（触らない）'!$A$2</f>
        <v>0.60416666666666663</v>
      </c>
      <c r="V19" s="39"/>
      <c r="W19" s="39"/>
      <c r="X19" s="39"/>
      <c r="Y19" s="39"/>
      <c r="Z19" s="39"/>
      <c r="AA19" s="39">
        <f>O19+'参照用（触らない）'!$A$1</f>
        <v>0.62499999999999989</v>
      </c>
      <c r="AB19" s="39"/>
      <c r="AC19" s="39"/>
      <c r="AD19" s="39"/>
      <c r="AE19" s="39"/>
      <c r="AF19" s="42"/>
      <c r="AG19" s="38">
        <f>AA19+'参照用（触らない）'!$A$2</f>
        <v>0.64583333333333326</v>
      </c>
      <c r="AH19" s="39"/>
      <c r="AI19" s="39"/>
      <c r="AJ19" s="39"/>
      <c r="AK19" s="39"/>
      <c r="AL19" s="39"/>
    </row>
    <row r="20" spans="1:38" ht="35.4" customHeight="1" thickTop="1">
      <c r="A20" s="30" t="s">
        <v>38</v>
      </c>
      <c r="B20" s="30"/>
      <c r="C20" s="46" t="s">
        <v>59</v>
      </c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5"/>
      <c r="O20" s="46" t="s">
        <v>69</v>
      </c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5"/>
    </row>
    <row r="21" spans="1:38" ht="35.4" customHeight="1">
      <c r="A21" s="40" t="s">
        <v>15</v>
      </c>
      <c r="B21" s="40"/>
      <c r="C21" s="59" t="s">
        <v>64</v>
      </c>
      <c r="D21" s="59"/>
      <c r="E21" s="59"/>
      <c r="F21" s="59"/>
      <c r="G21" s="59"/>
      <c r="H21" s="54"/>
      <c r="I21" s="58" t="s">
        <v>60</v>
      </c>
      <c r="J21" s="59"/>
      <c r="K21" s="59"/>
      <c r="L21" s="59"/>
      <c r="M21" s="59"/>
      <c r="N21" s="59"/>
      <c r="O21" s="54" t="s">
        <v>65</v>
      </c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7"/>
      <c r="AA21" s="59" t="s">
        <v>70</v>
      </c>
      <c r="AB21" s="59"/>
      <c r="AC21" s="59"/>
      <c r="AD21" s="59"/>
      <c r="AE21" s="59"/>
      <c r="AF21" s="54"/>
      <c r="AG21" s="58" t="s">
        <v>66</v>
      </c>
      <c r="AH21" s="59"/>
      <c r="AI21" s="59"/>
      <c r="AJ21" s="59"/>
      <c r="AK21" s="59"/>
      <c r="AL21" s="59"/>
    </row>
    <row r="22" spans="1:38" ht="35.4" customHeight="1" thickBot="1">
      <c r="A22" s="35" t="s">
        <v>17</v>
      </c>
      <c r="B22" s="35"/>
      <c r="C22" s="13" t="s">
        <v>59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5"/>
      <c r="O22" s="13" t="s">
        <v>69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5"/>
    </row>
    <row r="23" spans="1:38" ht="57" customHeight="1" thickTop="1">
      <c r="A23" s="30" t="s">
        <v>39</v>
      </c>
      <c r="B23" s="30"/>
      <c r="C23" s="55" t="s">
        <v>113</v>
      </c>
      <c r="D23" s="55"/>
      <c r="E23" s="55"/>
      <c r="F23" s="55"/>
      <c r="G23" s="55"/>
      <c r="H23" s="56"/>
      <c r="I23" s="50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7"/>
      <c r="U23" s="32" t="s">
        <v>114</v>
      </c>
      <c r="V23" s="33"/>
      <c r="W23" s="33"/>
      <c r="X23" s="33"/>
      <c r="Y23" s="33"/>
      <c r="Z23" s="33"/>
      <c r="AA23" s="51"/>
      <c r="AB23" s="51"/>
      <c r="AC23" s="51"/>
      <c r="AD23" s="51"/>
      <c r="AE23" s="51"/>
      <c r="AF23" s="57"/>
      <c r="AG23" s="50"/>
      <c r="AH23" s="51"/>
      <c r="AI23" s="51"/>
      <c r="AJ23" s="51"/>
      <c r="AK23" s="51"/>
      <c r="AL23" s="51"/>
    </row>
    <row r="29" spans="1:38" ht="18.600000000000001" thickBot="1">
      <c r="A29" s="41"/>
      <c r="B29" s="41"/>
      <c r="C29" s="39">
        <f>AA19+'参照用（触らない）'!$A$1</f>
        <v>0.66666666666666652</v>
      </c>
      <c r="D29" s="39"/>
      <c r="E29" s="39"/>
      <c r="F29" s="39"/>
      <c r="G29" s="39"/>
      <c r="H29" s="42"/>
      <c r="I29" s="38">
        <f>C29+'参照用（触らない）'!$A$2</f>
        <v>0.68749999999999989</v>
      </c>
      <c r="J29" s="39"/>
      <c r="K29" s="39"/>
      <c r="L29" s="39"/>
      <c r="M29" s="39"/>
      <c r="N29" s="39"/>
      <c r="O29" s="39">
        <f>C29+'参照用（触らない）'!$A$1</f>
        <v>0.70833333333333315</v>
      </c>
      <c r="P29" s="39"/>
      <c r="Q29" s="39"/>
      <c r="R29" s="39"/>
      <c r="S29" s="39"/>
      <c r="T29" s="42"/>
      <c r="U29" s="38">
        <f>O29+'参照用（触らない）'!$A$2</f>
        <v>0.72916666666666652</v>
      </c>
      <c r="V29" s="39"/>
      <c r="W29" s="39"/>
      <c r="X29" s="39"/>
      <c r="Y29" s="39"/>
      <c r="Z29" s="39"/>
      <c r="AA29" s="39">
        <f>O29+'参照用（触らない）'!$A$1</f>
        <v>0.74999999999999978</v>
      </c>
      <c r="AB29" s="39"/>
      <c r="AC29" s="39"/>
      <c r="AD29" s="39"/>
      <c r="AE29" s="39"/>
      <c r="AF29" s="42"/>
      <c r="AG29" s="38">
        <f>AA29+'参照用（触らない）'!$A$2</f>
        <v>0.77083333333333315</v>
      </c>
      <c r="AH29" s="39"/>
      <c r="AI29" s="39"/>
      <c r="AJ29" s="39"/>
      <c r="AK29" s="39"/>
      <c r="AL29" s="39"/>
    </row>
    <row r="30" spans="1:38" ht="35.4" customHeight="1" thickTop="1">
      <c r="A30" s="30" t="s">
        <v>38</v>
      </c>
      <c r="B30" s="30"/>
      <c r="C30" s="46" t="s">
        <v>69</v>
      </c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16" t="s">
        <v>59</v>
      </c>
      <c r="P30" s="17"/>
      <c r="Q30" s="17"/>
      <c r="R30" s="17"/>
      <c r="S30" s="17"/>
      <c r="T30" s="18"/>
      <c r="U30" s="43" t="s">
        <v>69</v>
      </c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5"/>
    </row>
    <row r="31" spans="1:38" ht="35.4" customHeight="1">
      <c r="A31" s="40" t="s">
        <v>15</v>
      </c>
      <c r="B31" s="40"/>
      <c r="C31" s="47" t="s">
        <v>71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9"/>
      <c r="O31" s="19"/>
      <c r="P31" s="20"/>
      <c r="Q31" s="20"/>
      <c r="R31" s="20"/>
      <c r="S31" s="20"/>
      <c r="T31" s="21"/>
      <c r="U31" s="25" t="s">
        <v>72</v>
      </c>
      <c r="V31" s="26"/>
      <c r="W31" s="26"/>
      <c r="X31" s="26"/>
      <c r="Y31" s="26"/>
      <c r="Z31" s="27"/>
      <c r="AA31" s="52" t="s">
        <v>74</v>
      </c>
      <c r="AB31" s="52"/>
      <c r="AC31" s="52"/>
      <c r="AD31" s="52"/>
      <c r="AE31" s="52"/>
      <c r="AF31" s="47"/>
      <c r="AG31" s="53" t="s">
        <v>75</v>
      </c>
      <c r="AH31" s="52"/>
      <c r="AI31" s="52"/>
      <c r="AJ31" s="52"/>
      <c r="AK31" s="52"/>
      <c r="AL31" s="52"/>
    </row>
    <row r="32" spans="1:38" ht="35.4" customHeight="1" thickBot="1">
      <c r="A32" s="35" t="s">
        <v>17</v>
      </c>
      <c r="B32" s="35"/>
      <c r="C32" s="13" t="s">
        <v>69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5"/>
      <c r="O32" s="22"/>
      <c r="P32" s="23"/>
      <c r="Q32" s="23"/>
      <c r="R32" s="23"/>
      <c r="S32" s="23"/>
      <c r="T32" s="24"/>
      <c r="U32" s="28"/>
      <c r="V32" s="23"/>
      <c r="W32" s="23"/>
      <c r="X32" s="23"/>
      <c r="Y32" s="23"/>
      <c r="Z32" s="29"/>
      <c r="AA32" s="13" t="s">
        <v>75</v>
      </c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5"/>
    </row>
    <row r="33" spans="1:38" ht="57" customHeight="1" thickTop="1">
      <c r="A33" s="30" t="s">
        <v>39</v>
      </c>
      <c r="B33" s="30"/>
      <c r="C33" s="12"/>
      <c r="D33" s="12"/>
      <c r="E33" s="12"/>
      <c r="F33" s="12"/>
      <c r="G33" s="12"/>
      <c r="H33" s="31"/>
      <c r="I33" s="50"/>
      <c r="J33" s="51"/>
      <c r="K33" s="51"/>
      <c r="L33" s="51"/>
      <c r="M33" s="51"/>
      <c r="N33" s="51"/>
      <c r="O33" s="12"/>
      <c r="P33" s="12"/>
      <c r="Q33" s="12"/>
      <c r="R33" s="12"/>
      <c r="S33" s="12"/>
      <c r="T33" s="31"/>
      <c r="U33" s="11"/>
      <c r="V33" s="12"/>
      <c r="W33" s="12"/>
      <c r="X33" s="12"/>
      <c r="Y33" s="12"/>
      <c r="Z33" s="12"/>
      <c r="AA33" s="12" t="s">
        <v>116</v>
      </c>
      <c r="AB33" s="12"/>
      <c r="AC33" s="12"/>
      <c r="AD33" s="12"/>
      <c r="AE33" s="12"/>
      <c r="AF33" s="34"/>
      <c r="AG33" s="11" t="s">
        <v>115</v>
      </c>
      <c r="AH33" s="12"/>
      <c r="AI33" s="12"/>
      <c r="AJ33" s="12"/>
      <c r="AK33" s="12"/>
      <c r="AL33" s="12"/>
    </row>
    <row r="39" spans="1:38" ht="18.600000000000001" thickBot="1">
      <c r="A39" s="41"/>
      <c r="B39" s="41"/>
      <c r="C39" s="39">
        <f>AA29+'参照用（触らない）'!$A$1</f>
        <v>0.79166666666666641</v>
      </c>
      <c r="D39" s="39"/>
      <c r="E39" s="39"/>
      <c r="F39" s="39"/>
      <c r="G39" s="39"/>
      <c r="H39" s="42"/>
      <c r="I39" s="38">
        <f>C39+'参照用（触らない）'!$A$2</f>
        <v>0.81249999999999978</v>
      </c>
      <c r="J39" s="39"/>
      <c r="K39" s="39"/>
      <c r="L39" s="39"/>
      <c r="M39" s="39"/>
      <c r="N39" s="39"/>
      <c r="O39" s="39">
        <f>C39+'参照用（触らない）'!$A$1</f>
        <v>0.83333333333333304</v>
      </c>
      <c r="P39" s="39"/>
      <c r="Q39" s="39"/>
      <c r="R39" s="39"/>
      <c r="S39" s="39"/>
      <c r="T39" s="42"/>
      <c r="U39" s="38">
        <f>O39+'参照用（触らない）'!$A$2</f>
        <v>0.85416666666666641</v>
      </c>
      <c r="V39" s="39"/>
      <c r="W39" s="39"/>
      <c r="X39" s="39"/>
      <c r="Y39" s="39"/>
      <c r="Z39" s="39"/>
      <c r="AA39" s="39">
        <f>O39+'参照用（触らない）'!$A$1</f>
        <v>0.87499999999999967</v>
      </c>
      <c r="AB39" s="39"/>
      <c r="AC39" s="39"/>
      <c r="AD39" s="39"/>
      <c r="AE39" s="39"/>
      <c r="AF39" s="42"/>
      <c r="AG39" s="38">
        <f>AA39+'参照用（触らない）'!$A$2</f>
        <v>0.89583333333333304</v>
      </c>
      <c r="AH39" s="39"/>
      <c r="AI39" s="39"/>
      <c r="AJ39" s="39"/>
      <c r="AK39" s="39"/>
      <c r="AL39" s="39"/>
    </row>
    <row r="40" spans="1:38" ht="35.4" customHeight="1" thickTop="1">
      <c r="A40" s="40" t="s">
        <v>1</v>
      </c>
      <c r="B40" s="40"/>
      <c r="C40" s="16" t="s">
        <v>75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8"/>
      <c r="AG40" s="36" t="s">
        <v>76</v>
      </c>
      <c r="AH40" s="17"/>
      <c r="AI40" s="17"/>
      <c r="AJ40" s="17"/>
      <c r="AK40" s="17"/>
      <c r="AL40" s="37"/>
    </row>
    <row r="41" spans="1:38" ht="35.4" customHeight="1" thickBot="1">
      <c r="A41" s="35" t="s">
        <v>78</v>
      </c>
      <c r="B41" s="35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4"/>
      <c r="AG41" s="28"/>
      <c r="AH41" s="23"/>
      <c r="AI41" s="23"/>
      <c r="AJ41" s="23"/>
      <c r="AK41" s="23"/>
      <c r="AL41" s="29"/>
    </row>
    <row r="42" spans="1:38" ht="57" customHeight="1" thickTop="1">
      <c r="A42" s="30" t="s">
        <v>39</v>
      </c>
      <c r="B42" s="30"/>
      <c r="C42" s="12" t="s">
        <v>117</v>
      </c>
      <c r="D42" s="12"/>
      <c r="E42" s="12"/>
      <c r="F42" s="12"/>
      <c r="G42" s="12"/>
      <c r="H42" s="31"/>
      <c r="I42" s="32"/>
      <c r="J42" s="33"/>
      <c r="K42" s="33"/>
      <c r="L42" s="33"/>
      <c r="M42" s="33"/>
      <c r="N42" s="33"/>
      <c r="O42" s="12"/>
      <c r="P42" s="12"/>
      <c r="Q42" s="12"/>
      <c r="R42" s="12"/>
      <c r="S42" s="12"/>
      <c r="T42" s="31"/>
      <c r="U42" s="11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34"/>
      <c r="AG42" s="11" t="s">
        <v>118</v>
      </c>
      <c r="AH42" s="12"/>
      <c r="AI42" s="12"/>
      <c r="AJ42" s="12"/>
      <c r="AK42" s="12"/>
      <c r="AL42" s="12"/>
    </row>
    <row r="46" spans="1:38">
      <c r="A46" s="103" t="s">
        <v>1</v>
      </c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6"/>
      <c r="V46" s="107" t="s">
        <v>79</v>
      </c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</row>
    <row r="47" spans="1:38">
      <c r="A47" s="78" t="str">
        <f>VLOOKUP('参照用（触らない）'!$B1,メンバー!$A$16:$H$25,2,FALSE)</f>
        <v>河元ケンヂ</v>
      </c>
      <c r="B47" s="78"/>
      <c r="C47" s="78"/>
      <c r="D47" s="78" t="str">
        <f>VLOOKUP('参照用（触らない）'!$B1,メンバー!$A$16:$H$25,4,FALSE)</f>
        <v>〇</v>
      </c>
      <c r="E47" s="78"/>
      <c r="F47" s="78"/>
      <c r="G47" s="104"/>
      <c r="H47" s="105" t="str">
        <f>VLOOKUP('参照用（触らない）'!$B5,メンバー!$A$16:$H$25,2,FALSE)</f>
        <v>真嶋 秀典</v>
      </c>
      <c r="I47" s="78"/>
      <c r="J47" s="78"/>
      <c r="K47" s="78" t="str">
        <f>VLOOKUP('参照用（触らない）'!$B5,メンバー!$A$16:$H$25,4,FALSE)</f>
        <v>〇</v>
      </c>
      <c r="L47" s="78"/>
      <c r="M47" s="78"/>
      <c r="N47" s="104"/>
      <c r="O47" s="105" t="str">
        <f>VLOOKUP('参照用（触らない）'!$B9,メンバー!$A$16:$H$25,2,FALSE)</f>
        <v>安河内 咲月</v>
      </c>
      <c r="P47" s="78"/>
      <c r="Q47" s="78"/>
      <c r="R47" s="78" t="str">
        <f>VLOOKUP('参照用（触らない）'!$B9,メンバー!$A$16:$H$25,4,FALSE)</f>
        <v>〇</v>
      </c>
      <c r="S47" s="78"/>
      <c r="T47" s="78"/>
      <c r="U47" s="104"/>
      <c r="V47" s="105" t="str">
        <f>VLOOKUP('参照用（触らない）'!$B1,メンバー!$A$4:$H$11,3,FALSE)</f>
        <v>丹波橋あかね</v>
      </c>
      <c r="W47" s="78"/>
      <c r="X47" s="78"/>
      <c r="Y47" s="78" t="str">
        <f>VLOOKUP('参照用（触らない）'!$B1,メンバー!$A$4:$H$11,4,FALSE)</f>
        <v>19～</v>
      </c>
      <c r="Z47" s="78"/>
      <c r="AA47" s="78"/>
      <c r="AB47" s="104"/>
      <c r="AC47" s="105" t="str">
        <f>VLOOKUP('参照用（触らない）'!$B5,メンバー!$A$4:$H$11,3,FALSE)</f>
        <v>いろ</v>
      </c>
      <c r="AD47" s="78"/>
      <c r="AE47" s="78"/>
      <c r="AF47" s="78" t="str">
        <f>VLOOKUP('参照用（触らない）'!$B5,メンバー!$A$4:$H$11,4,FALSE)</f>
        <v>14:30～</v>
      </c>
      <c r="AG47" s="78"/>
      <c r="AH47" s="78"/>
      <c r="AI47" s="78"/>
    </row>
    <row r="48" spans="1:38">
      <c r="A48" s="78" t="str">
        <f>VLOOKUP('参照用（触らない）'!$B2,メンバー!$A$16:$H$25,2,FALSE)</f>
        <v>橘</v>
      </c>
      <c r="B48" s="78"/>
      <c r="C48" s="78"/>
      <c r="D48" s="78" t="str">
        <f>VLOOKUP('参照用（触らない）'!$B2,メンバー!$A$16:$H$25,4,FALSE)</f>
        <v>要調整
18-19～</v>
      </c>
      <c r="E48" s="78"/>
      <c r="F48" s="78"/>
      <c r="G48" s="104"/>
      <c r="H48" s="105" t="str">
        <f>VLOOKUP('参照用（触らない）'!$B6,メンバー!$A$16:$H$25,2,FALSE)</f>
        <v>榎村 萌音</v>
      </c>
      <c r="I48" s="78"/>
      <c r="J48" s="78"/>
      <c r="K48" s="78" t="str">
        <f>VLOOKUP('参照用（触らない）'!$B6,メンバー!$A$16:$H$25,4,FALSE)</f>
        <v>18～</v>
      </c>
      <c r="L48" s="78"/>
      <c r="M48" s="78"/>
      <c r="N48" s="104"/>
      <c r="O48" s="105" t="str">
        <f>VLOOKUP('参照用（触らない）'!$B10,メンバー!$A$16:$H$25,2,FALSE)</f>
        <v>伊筑 早希</v>
      </c>
      <c r="P48" s="78"/>
      <c r="Q48" s="78"/>
      <c r="R48" s="78" t="str">
        <f>VLOOKUP('参照用（触らない）'!$B10,メンバー!$A$16:$H$25,4,FALSE)</f>
        <v>〇</v>
      </c>
      <c r="S48" s="78"/>
      <c r="T48" s="78"/>
      <c r="U48" s="104"/>
      <c r="V48" s="105" t="str">
        <f>VLOOKUP('参照用（触らない）'!$B2,メンバー!$A$4:$H$11,3,FALSE)</f>
        <v>蒼樹とも</v>
      </c>
      <c r="W48" s="78"/>
      <c r="X48" s="78"/>
      <c r="Y48" s="78" t="str">
        <f>VLOOKUP('参照用（触らない）'!$B2,メンバー!$A$4:$H$11,4,FALSE)</f>
        <v>〇</v>
      </c>
      <c r="Z48" s="78"/>
      <c r="AA48" s="78"/>
      <c r="AB48" s="104"/>
      <c r="AC48" s="105" t="str">
        <f>VLOOKUP('参照用（触らない）'!$B6,メンバー!$A$4:$H$11,3,FALSE)</f>
        <v>松尾明</v>
      </c>
      <c r="AD48" s="78"/>
      <c r="AE48" s="78"/>
      <c r="AF48" s="78" t="str">
        <f>VLOOKUP('参照用（触らない）'!$B6,メンバー!$A$4:$H$11,4,FALSE)</f>
        <v>〇</v>
      </c>
      <c r="AG48" s="78"/>
      <c r="AH48" s="78"/>
      <c r="AI48" s="78"/>
    </row>
    <row r="49" spans="1:35">
      <c r="A49" s="78" t="str">
        <f>VLOOKUP('参照用（触らない）'!$B3,メンバー!$A$16:$H$25,2,FALSE)</f>
        <v>豊 ゆうみ</v>
      </c>
      <c r="B49" s="78"/>
      <c r="C49" s="78"/>
      <c r="D49" s="78" t="str">
        <f>VLOOKUP('参照用（触らない）'!$B3,メンバー!$A$16:$H$25,4,FALSE)</f>
        <v>18:30～</v>
      </c>
      <c r="E49" s="78"/>
      <c r="F49" s="78"/>
      <c r="G49" s="104"/>
      <c r="H49" s="105" t="str">
        <f>VLOOKUP('参照用（触らない）'!$B7,メンバー!$A$16:$H$25,2,FALSE)</f>
        <v>大島 弥子</v>
      </c>
      <c r="I49" s="78"/>
      <c r="J49" s="78"/>
      <c r="K49" s="78" t="str">
        <f>VLOOKUP('参照用（触らない）'!$B7,メンバー!$A$16:$H$25,4,FALSE)</f>
        <v>×</v>
      </c>
      <c r="L49" s="78"/>
      <c r="M49" s="78"/>
      <c r="N49" s="104"/>
      <c r="O49" s="105"/>
      <c r="P49" s="78"/>
      <c r="Q49" s="78"/>
      <c r="R49" s="78"/>
      <c r="S49" s="78"/>
      <c r="T49" s="78"/>
      <c r="U49" s="104"/>
      <c r="V49" s="105" t="str">
        <f>VLOOKUP('参照用（触らない）'!$B3,メンバー!$A$4:$H$11,3,FALSE)</f>
        <v>てんま1/2</v>
      </c>
      <c r="W49" s="78"/>
      <c r="X49" s="78"/>
      <c r="Y49" s="78" t="str">
        <f>VLOOKUP('参照用（触らない）'!$B3,メンバー!$A$4:$H$11,4,FALSE)</f>
        <v>〇</v>
      </c>
      <c r="Z49" s="78"/>
      <c r="AA49" s="78"/>
      <c r="AB49" s="104"/>
      <c r="AC49" s="105" t="str">
        <f>VLOOKUP('参照用（触らない）'!$B7,メンバー!$A$4:$H$11,3,FALSE)</f>
        <v>廣瀬雅</v>
      </c>
      <c r="AD49" s="78"/>
      <c r="AE49" s="78"/>
      <c r="AF49" s="78" t="str">
        <f>VLOOKUP('参照用（触らない）'!$B7,メンバー!$A$4:$H$11,4,FALSE)</f>
        <v>〇</v>
      </c>
      <c r="AG49" s="78"/>
      <c r="AH49" s="78"/>
      <c r="AI49" s="78"/>
    </row>
    <row r="50" spans="1:35">
      <c r="A50" s="78" t="str">
        <f>VLOOKUP('参照用（触らない）'!$B4,メンバー!$A$16:$H$25,2,FALSE)</f>
        <v>ベル</v>
      </c>
      <c r="B50" s="78"/>
      <c r="C50" s="78"/>
      <c r="D50" s="78" t="str">
        <f>VLOOKUP('参照用（触らない）'!$B4,メンバー!$A$16:$H$25,4,FALSE)</f>
        <v>18-19～</v>
      </c>
      <c r="E50" s="78"/>
      <c r="F50" s="78"/>
      <c r="G50" s="104"/>
      <c r="H50" s="105" t="str">
        <f>VLOOKUP('参照用（触らない）'!$B8,メンバー!$A$16:$H$25,2,FALSE)</f>
        <v>ゆうぞう</v>
      </c>
      <c r="I50" s="78"/>
      <c r="J50" s="78"/>
      <c r="K50" s="78" t="str">
        <f>VLOOKUP('参照用（触らない）'!$B8,メンバー!$A$16:$H$25,4,FALSE)</f>
        <v>19～</v>
      </c>
      <c r="L50" s="78"/>
      <c r="M50" s="78"/>
      <c r="N50" s="104"/>
      <c r="O50" s="105"/>
      <c r="P50" s="78"/>
      <c r="Q50" s="78"/>
      <c r="R50" s="78"/>
      <c r="S50" s="78"/>
      <c r="T50" s="78"/>
      <c r="U50" s="104"/>
      <c r="V50" s="105" t="str">
        <f>VLOOKUP('参照用（触らない）'!$B4,メンバー!$A$4:$H$11,3,FALSE)</f>
        <v>菅原 三花</v>
      </c>
      <c r="W50" s="78"/>
      <c r="X50" s="78"/>
      <c r="Y50" s="78" t="str">
        <f>VLOOKUP('参照用（触らない）'!$B4,メンバー!$A$4:$H$11,4,FALSE)</f>
        <v>13～</v>
      </c>
      <c r="Z50" s="78"/>
      <c r="AA50" s="78"/>
      <c r="AB50" s="104"/>
      <c r="AC50" s="105"/>
      <c r="AD50" s="78"/>
      <c r="AE50" s="78"/>
      <c r="AF50" s="78"/>
      <c r="AG50" s="78"/>
      <c r="AH50" s="78"/>
      <c r="AI50" s="78"/>
    </row>
  </sheetData>
  <mergeCells count="162">
    <mergeCell ref="AC47:AE47"/>
    <mergeCell ref="AF47:AI47"/>
    <mergeCell ref="AC48:AE48"/>
    <mergeCell ref="AF48:AI48"/>
    <mergeCell ref="AC49:AE49"/>
    <mergeCell ref="AF49:AI49"/>
    <mergeCell ref="AC50:AE50"/>
    <mergeCell ref="AF50:AI50"/>
    <mergeCell ref="V46:AI46"/>
    <mergeCell ref="R47:U47"/>
    <mergeCell ref="O48:Q48"/>
    <mergeCell ref="R48:U48"/>
    <mergeCell ref="H50:J50"/>
    <mergeCell ref="A50:C50"/>
    <mergeCell ref="O49:Q49"/>
    <mergeCell ref="R49:U49"/>
    <mergeCell ref="O50:Q50"/>
    <mergeCell ref="R50:U50"/>
    <mergeCell ref="K47:N47"/>
    <mergeCell ref="K48:N48"/>
    <mergeCell ref="K49:N49"/>
    <mergeCell ref="K50:N50"/>
    <mergeCell ref="A47:C47"/>
    <mergeCell ref="A48:C48"/>
    <mergeCell ref="A49:C49"/>
    <mergeCell ref="H47:J47"/>
    <mergeCell ref="H48:J48"/>
    <mergeCell ref="H49:J49"/>
    <mergeCell ref="D47:G47"/>
    <mergeCell ref="D48:G48"/>
    <mergeCell ref="D49:G49"/>
    <mergeCell ref="D50:G50"/>
    <mergeCell ref="O47:Q47"/>
    <mergeCell ref="V47:X47"/>
    <mergeCell ref="V48:X48"/>
    <mergeCell ref="V49:X49"/>
    <mergeCell ref="V50:X50"/>
    <mergeCell ref="Y47:AB47"/>
    <mergeCell ref="Y48:AB48"/>
    <mergeCell ref="Y49:AB49"/>
    <mergeCell ref="Y50:AB50"/>
    <mergeCell ref="A46:U46"/>
    <mergeCell ref="W3:Z4"/>
    <mergeCell ref="AA1:AL1"/>
    <mergeCell ref="AA2:AL2"/>
    <mergeCell ref="AA3:AL3"/>
    <mergeCell ref="AA4:AL4"/>
    <mergeCell ref="L1:U1"/>
    <mergeCell ref="L2:Q2"/>
    <mergeCell ref="L3:Q3"/>
    <mergeCell ref="A1:B1"/>
    <mergeCell ref="A2:B2"/>
    <mergeCell ref="C1:J1"/>
    <mergeCell ref="C2:J2"/>
    <mergeCell ref="W1:Z1"/>
    <mergeCell ref="W2:Z2"/>
    <mergeCell ref="R2:U2"/>
    <mergeCell ref="A13:B13"/>
    <mergeCell ref="D8:F8"/>
    <mergeCell ref="I13:N13"/>
    <mergeCell ref="R3:U3"/>
    <mergeCell ref="A9:B9"/>
    <mergeCell ref="A10:B10"/>
    <mergeCell ref="A11:B11"/>
    <mergeCell ref="A12:B12"/>
    <mergeCell ref="O10:T10"/>
    <mergeCell ref="O11:T11"/>
    <mergeCell ref="O12:T12"/>
    <mergeCell ref="U19:Z19"/>
    <mergeCell ref="AA19:AF19"/>
    <mergeCell ref="AG9:AL9"/>
    <mergeCell ref="AA9:AF9"/>
    <mergeCell ref="U9:Z9"/>
    <mergeCell ref="O9:T9"/>
    <mergeCell ref="I9:N9"/>
    <mergeCell ref="C9:H9"/>
    <mergeCell ref="AA11:AF11"/>
    <mergeCell ref="AA13:AF13"/>
    <mergeCell ref="AG11:AL11"/>
    <mergeCell ref="AG13:AL13"/>
    <mergeCell ref="O13:T13"/>
    <mergeCell ref="U10:Z10"/>
    <mergeCell ref="U11:Z11"/>
    <mergeCell ref="U12:Z12"/>
    <mergeCell ref="U13:Z13"/>
    <mergeCell ref="C10:H10"/>
    <mergeCell ref="C11:H11"/>
    <mergeCell ref="C12:H12"/>
    <mergeCell ref="C13:H13"/>
    <mergeCell ref="I10:N10"/>
    <mergeCell ref="I11:N11"/>
    <mergeCell ref="I12:N12"/>
    <mergeCell ref="AA10:AL10"/>
    <mergeCell ref="C20:N20"/>
    <mergeCell ref="O21:Z21"/>
    <mergeCell ref="A29:B29"/>
    <mergeCell ref="C29:H29"/>
    <mergeCell ref="I29:N29"/>
    <mergeCell ref="O29:T29"/>
    <mergeCell ref="U29:Z29"/>
    <mergeCell ref="AA29:AF29"/>
    <mergeCell ref="AG29:AL29"/>
    <mergeCell ref="A23:B23"/>
    <mergeCell ref="C23:H23"/>
    <mergeCell ref="I23:N23"/>
    <mergeCell ref="O23:T23"/>
    <mergeCell ref="U23:Z23"/>
    <mergeCell ref="AA23:AF23"/>
    <mergeCell ref="AG23:AL23"/>
    <mergeCell ref="AG21:AL21"/>
    <mergeCell ref="A22:B22"/>
    <mergeCell ref="A21:B21"/>
    <mergeCell ref="C21:H21"/>
    <mergeCell ref="I21:N21"/>
    <mergeCell ref="AA21:AF21"/>
    <mergeCell ref="AG19:AL19"/>
    <mergeCell ref="C22:N22"/>
    <mergeCell ref="O22:AL22"/>
    <mergeCell ref="AG33:AL33"/>
    <mergeCell ref="AA12:AL12"/>
    <mergeCell ref="O20:AL20"/>
    <mergeCell ref="C31:N31"/>
    <mergeCell ref="C30:N30"/>
    <mergeCell ref="A33:B33"/>
    <mergeCell ref="C33:H33"/>
    <mergeCell ref="I33:N33"/>
    <mergeCell ref="O33:T33"/>
    <mergeCell ref="U33:Z33"/>
    <mergeCell ref="AA33:AF33"/>
    <mergeCell ref="AA32:AL32"/>
    <mergeCell ref="A32:B32"/>
    <mergeCell ref="A31:B31"/>
    <mergeCell ref="AA31:AF31"/>
    <mergeCell ref="AG31:AL31"/>
    <mergeCell ref="A30:B30"/>
    <mergeCell ref="A20:B20"/>
    <mergeCell ref="A19:B19"/>
    <mergeCell ref="C19:H19"/>
    <mergeCell ref="I19:N19"/>
    <mergeCell ref="O19:T19"/>
    <mergeCell ref="AG42:AL42"/>
    <mergeCell ref="C32:N32"/>
    <mergeCell ref="O30:T32"/>
    <mergeCell ref="U31:Z32"/>
    <mergeCell ref="A42:B42"/>
    <mergeCell ref="C42:H42"/>
    <mergeCell ref="I42:N42"/>
    <mergeCell ref="O42:T42"/>
    <mergeCell ref="U42:Z42"/>
    <mergeCell ref="AA42:AF42"/>
    <mergeCell ref="A41:B41"/>
    <mergeCell ref="C40:AF41"/>
    <mergeCell ref="AG40:AL41"/>
    <mergeCell ref="AG39:AL39"/>
    <mergeCell ref="A40:B40"/>
    <mergeCell ref="A39:B39"/>
    <mergeCell ref="C39:H39"/>
    <mergeCell ref="I39:N39"/>
    <mergeCell ref="O39:T39"/>
    <mergeCell ref="U39:Z39"/>
    <mergeCell ref="AA39:AF39"/>
    <mergeCell ref="U30:AL30"/>
  </mergeCells>
  <phoneticPr fontId="2"/>
  <pageMargins left="0.7" right="0.7" top="0.75" bottom="0.75" header="0.3" footer="0.3"/>
  <pageSetup paperSize="9" scale="57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4CEE-A2BD-45A1-A793-3763514548C0}">
  <dimension ref="A1:AL51"/>
  <sheetViews>
    <sheetView view="pageBreakPreview" zoomScale="60" zoomScaleNormal="100" zoomScalePageLayoutView="85" workbookViewId="0">
      <selection activeCell="K48" sqref="K48:N48"/>
    </sheetView>
  </sheetViews>
  <sheetFormatPr defaultColWidth="3.69921875" defaultRowHeight="18"/>
  <cols>
    <col min="1" max="2" width="3.69921875" style="1"/>
    <col min="3" max="3" width="3.69921875" style="1" customWidth="1"/>
    <col min="4" max="4" width="3.69921875" style="1"/>
    <col min="5" max="5" width="3.69921875" style="1" customWidth="1"/>
    <col min="6" max="14" width="3.69921875" style="1"/>
    <col min="15" max="15" width="3.69921875" style="1" customWidth="1"/>
    <col min="16" max="16384" width="3.69921875" style="1"/>
  </cols>
  <sheetData>
    <row r="1" spans="1:38">
      <c r="A1" s="40" t="s">
        <v>40</v>
      </c>
      <c r="B1" s="40"/>
      <c r="C1" s="78" t="s">
        <v>41</v>
      </c>
      <c r="D1" s="78"/>
      <c r="E1" s="78"/>
      <c r="F1" s="78"/>
      <c r="G1" s="78"/>
      <c r="H1" s="78"/>
      <c r="I1" s="78"/>
      <c r="J1" s="78"/>
      <c r="L1" s="40" t="s">
        <v>51</v>
      </c>
      <c r="M1" s="40"/>
      <c r="N1" s="40"/>
      <c r="O1" s="40"/>
      <c r="P1" s="40"/>
      <c r="Q1" s="40"/>
      <c r="R1" s="40"/>
      <c r="S1" s="40"/>
      <c r="T1" s="40"/>
      <c r="U1" s="40"/>
      <c r="W1" s="40" t="s">
        <v>44</v>
      </c>
      <c r="X1" s="40"/>
      <c r="Y1" s="40"/>
      <c r="Z1" s="40"/>
      <c r="AA1" s="78" t="s">
        <v>47</v>
      </c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</row>
    <row r="2" spans="1:38">
      <c r="A2" s="40" t="s">
        <v>42</v>
      </c>
      <c r="B2" s="40"/>
      <c r="C2" s="78" t="s">
        <v>43</v>
      </c>
      <c r="D2" s="78"/>
      <c r="E2" s="78"/>
      <c r="F2" s="78"/>
      <c r="G2" s="78"/>
      <c r="H2" s="78"/>
      <c r="I2" s="78"/>
      <c r="J2" s="78"/>
      <c r="L2" s="78" t="s">
        <v>52</v>
      </c>
      <c r="M2" s="78"/>
      <c r="N2" s="78"/>
      <c r="O2" s="78"/>
      <c r="P2" s="78"/>
      <c r="Q2" s="78"/>
      <c r="R2" s="78" t="s">
        <v>54</v>
      </c>
      <c r="S2" s="78"/>
      <c r="T2" s="78"/>
      <c r="U2" s="78"/>
      <c r="W2" s="40" t="s">
        <v>45</v>
      </c>
      <c r="X2" s="40"/>
      <c r="Y2" s="40"/>
      <c r="Z2" s="40"/>
      <c r="AA2" s="78" t="s">
        <v>48</v>
      </c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</row>
    <row r="3" spans="1:38">
      <c r="L3" s="78" t="s">
        <v>53</v>
      </c>
      <c r="M3" s="78"/>
      <c r="N3" s="78"/>
      <c r="O3" s="78"/>
      <c r="P3" s="78"/>
      <c r="Q3" s="78"/>
      <c r="R3" s="78" t="s">
        <v>55</v>
      </c>
      <c r="S3" s="78"/>
      <c r="T3" s="78"/>
      <c r="U3" s="78"/>
      <c r="W3" s="40" t="s">
        <v>46</v>
      </c>
      <c r="X3" s="40"/>
      <c r="Y3" s="40"/>
      <c r="Z3" s="40"/>
      <c r="AA3" s="78" t="s">
        <v>49</v>
      </c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</row>
    <row r="4" spans="1:38">
      <c r="W4" s="40"/>
      <c r="X4" s="40"/>
      <c r="Y4" s="40"/>
      <c r="Z4" s="40"/>
      <c r="AA4" s="78" t="s">
        <v>50</v>
      </c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</row>
    <row r="8" spans="1:38">
      <c r="A8" s="1" t="s">
        <v>77</v>
      </c>
      <c r="D8" s="77">
        <v>0.41666666666666669</v>
      </c>
      <c r="E8" s="77"/>
      <c r="F8" s="77"/>
    </row>
    <row r="9" spans="1:38" s="2" customFormat="1" ht="18.600000000000001" thickBot="1">
      <c r="A9" s="41"/>
      <c r="B9" s="41"/>
      <c r="C9" s="39">
        <f>D8</f>
        <v>0.41666666666666669</v>
      </c>
      <c r="D9" s="39"/>
      <c r="E9" s="39"/>
      <c r="F9" s="39"/>
      <c r="G9" s="39"/>
      <c r="H9" s="42"/>
      <c r="I9" s="38">
        <f>C9+'参照用（触らない）'!$A$2</f>
        <v>0.4375</v>
      </c>
      <c r="J9" s="39"/>
      <c r="K9" s="39"/>
      <c r="L9" s="39"/>
      <c r="M9" s="39"/>
      <c r="N9" s="39"/>
      <c r="O9" s="39">
        <f>C9+'参照用（触らない）'!$A$1</f>
        <v>0.45833333333333337</v>
      </c>
      <c r="P9" s="39"/>
      <c r="Q9" s="39"/>
      <c r="R9" s="39"/>
      <c r="S9" s="39"/>
      <c r="T9" s="42"/>
      <c r="U9" s="38">
        <f>O9+'参照用（触らない）'!$A$2</f>
        <v>0.47916666666666669</v>
      </c>
      <c r="V9" s="39"/>
      <c r="W9" s="39"/>
      <c r="X9" s="39"/>
      <c r="Y9" s="39"/>
      <c r="Z9" s="39"/>
      <c r="AA9" s="39">
        <f>O9+'参照用（触らない）'!$A$1</f>
        <v>0.5</v>
      </c>
      <c r="AB9" s="39"/>
      <c r="AC9" s="39"/>
      <c r="AD9" s="39"/>
      <c r="AE9" s="39"/>
      <c r="AF9" s="42"/>
      <c r="AG9" s="38">
        <f>AA9+'参照用（触らない）'!$A$2</f>
        <v>0.52083333333333337</v>
      </c>
      <c r="AH9" s="39"/>
      <c r="AI9" s="39"/>
      <c r="AJ9" s="39"/>
      <c r="AK9" s="39"/>
      <c r="AL9" s="39"/>
    </row>
    <row r="10" spans="1:38" ht="35.4" customHeight="1" thickTop="1">
      <c r="A10" s="30" t="s">
        <v>1</v>
      </c>
      <c r="B10" s="30"/>
      <c r="C10" s="64"/>
      <c r="D10" s="64"/>
      <c r="E10" s="64"/>
      <c r="F10" s="64"/>
      <c r="G10" s="64"/>
      <c r="H10" s="72"/>
      <c r="I10" s="63"/>
      <c r="J10" s="64"/>
      <c r="K10" s="64"/>
      <c r="L10" s="64"/>
      <c r="M10" s="64"/>
      <c r="N10" s="64"/>
      <c r="O10" s="16" t="s">
        <v>82</v>
      </c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37"/>
    </row>
    <row r="11" spans="1:38" ht="35.4" customHeight="1">
      <c r="A11" s="40" t="s">
        <v>78</v>
      </c>
      <c r="B11" s="40"/>
      <c r="C11" s="52"/>
      <c r="D11" s="52"/>
      <c r="E11" s="52"/>
      <c r="F11" s="52"/>
      <c r="G11" s="52"/>
      <c r="H11" s="47"/>
      <c r="I11" s="53"/>
      <c r="J11" s="52"/>
      <c r="K11" s="52"/>
      <c r="L11" s="52"/>
      <c r="M11" s="52"/>
      <c r="N11" s="52"/>
      <c r="O11" s="7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4"/>
    </row>
    <row r="12" spans="1:38" ht="35.4" customHeight="1" thickBot="1">
      <c r="A12" s="35" t="s">
        <v>79</v>
      </c>
      <c r="B12" s="35"/>
      <c r="C12" s="68"/>
      <c r="D12" s="68"/>
      <c r="E12" s="68"/>
      <c r="F12" s="68"/>
      <c r="G12" s="68"/>
      <c r="H12" s="13"/>
      <c r="I12" s="67"/>
      <c r="J12" s="68"/>
      <c r="K12" s="68"/>
      <c r="L12" s="68"/>
      <c r="M12" s="68"/>
      <c r="N12" s="68"/>
      <c r="O12" s="13" t="s">
        <v>80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5"/>
    </row>
    <row r="13" spans="1:38" ht="57" customHeight="1" thickTop="1">
      <c r="A13" s="30" t="s">
        <v>39</v>
      </c>
      <c r="B13" s="30"/>
      <c r="C13" s="55"/>
      <c r="D13" s="55"/>
      <c r="E13" s="55"/>
      <c r="F13" s="55"/>
      <c r="G13" s="55"/>
      <c r="H13" s="56"/>
      <c r="I13" s="50"/>
      <c r="J13" s="51"/>
      <c r="K13" s="51"/>
      <c r="L13" s="51"/>
      <c r="M13" s="51"/>
      <c r="N13" s="51"/>
      <c r="O13" s="88" t="s">
        <v>81</v>
      </c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90"/>
      <c r="AA13" s="51"/>
      <c r="AB13" s="51"/>
      <c r="AC13" s="51"/>
      <c r="AD13" s="51"/>
      <c r="AE13" s="51"/>
      <c r="AF13" s="57"/>
      <c r="AG13" s="50"/>
      <c r="AH13" s="51"/>
      <c r="AI13" s="51"/>
      <c r="AJ13" s="51"/>
      <c r="AK13" s="51"/>
      <c r="AL13" s="51"/>
    </row>
    <row r="19" spans="1:38" ht="18.600000000000001" thickBot="1">
      <c r="A19" s="41"/>
      <c r="B19" s="41"/>
      <c r="C19" s="39">
        <f>AA9+'参照用（触らない）'!$A$1</f>
        <v>0.54166666666666663</v>
      </c>
      <c r="D19" s="39"/>
      <c r="E19" s="39"/>
      <c r="F19" s="39"/>
      <c r="G19" s="39"/>
      <c r="H19" s="42"/>
      <c r="I19" s="38">
        <f>C19+'参照用（触らない）'!$A$2</f>
        <v>0.5625</v>
      </c>
      <c r="J19" s="39"/>
      <c r="K19" s="39"/>
      <c r="L19" s="39"/>
      <c r="M19" s="39"/>
      <c r="N19" s="39"/>
      <c r="O19" s="39">
        <f>C19+'参照用（触らない）'!$A$1</f>
        <v>0.58333333333333326</v>
      </c>
      <c r="P19" s="39"/>
      <c r="Q19" s="39"/>
      <c r="R19" s="39"/>
      <c r="S19" s="39"/>
      <c r="T19" s="42"/>
      <c r="U19" s="38">
        <f>O19+'参照用（触らない）'!$A$2</f>
        <v>0.60416666666666663</v>
      </c>
      <c r="V19" s="39"/>
      <c r="W19" s="39"/>
      <c r="X19" s="39"/>
      <c r="Y19" s="39"/>
      <c r="Z19" s="39"/>
      <c r="AA19" s="39">
        <f>O19+'参照用（触らない）'!$A$1</f>
        <v>0.62499999999999989</v>
      </c>
      <c r="AB19" s="39"/>
      <c r="AC19" s="39"/>
      <c r="AD19" s="39"/>
      <c r="AE19" s="39"/>
      <c r="AF19" s="42"/>
      <c r="AG19" s="38">
        <f>AA19+'参照用（触らない）'!$A$2</f>
        <v>0.64583333333333326</v>
      </c>
      <c r="AH19" s="39"/>
      <c r="AI19" s="39"/>
      <c r="AJ19" s="39"/>
      <c r="AK19" s="39"/>
      <c r="AL19" s="39"/>
    </row>
    <row r="20" spans="1:38" ht="35.4" customHeight="1" thickTop="1">
      <c r="A20" s="30" t="s">
        <v>1</v>
      </c>
      <c r="B20" s="30"/>
      <c r="C20" s="16" t="s">
        <v>59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37"/>
      <c r="O20" s="16" t="s">
        <v>75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37"/>
    </row>
    <row r="21" spans="1:38" ht="35.4" customHeight="1">
      <c r="A21" s="40" t="s">
        <v>78</v>
      </c>
      <c r="B21" s="40"/>
      <c r="C21" s="19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86"/>
      <c r="O21" s="7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4"/>
    </row>
    <row r="22" spans="1:38" ht="35.4" customHeight="1" thickBot="1">
      <c r="A22" s="35" t="s">
        <v>79</v>
      </c>
      <c r="B22" s="35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9"/>
      <c r="O22" s="13" t="s">
        <v>69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5"/>
    </row>
    <row r="23" spans="1:38" ht="57" customHeight="1" thickTop="1">
      <c r="A23" s="30" t="s">
        <v>39</v>
      </c>
      <c r="B23" s="30"/>
      <c r="C23" s="55"/>
      <c r="D23" s="55"/>
      <c r="E23" s="55"/>
      <c r="F23" s="55"/>
      <c r="G23" s="55"/>
      <c r="H23" s="56"/>
      <c r="I23" s="50"/>
      <c r="J23" s="51"/>
      <c r="K23" s="51"/>
      <c r="L23" s="51"/>
      <c r="M23" s="51"/>
      <c r="N23" s="51"/>
      <c r="O23" s="88" t="s">
        <v>119</v>
      </c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90"/>
      <c r="AA23" s="51"/>
      <c r="AB23" s="51"/>
      <c r="AC23" s="51"/>
      <c r="AD23" s="51"/>
      <c r="AE23" s="51"/>
      <c r="AF23" s="57"/>
      <c r="AG23" s="50"/>
      <c r="AH23" s="51"/>
      <c r="AI23" s="51"/>
      <c r="AJ23" s="51"/>
      <c r="AK23" s="51"/>
      <c r="AL23" s="51"/>
    </row>
    <row r="29" spans="1:38" ht="18.600000000000001" thickBot="1">
      <c r="A29" s="41"/>
      <c r="B29" s="41"/>
      <c r="C29" s="39">
        <f>AA19+'参照用（触らない）'!$A$1</f>
        <v>0.66666666666666652</v>
      </c>
      <c r="D29" s="39"/>
      <c r="E29" s="39"/>
      <c r="F29" s="39"/>
      <c r="G29" s="39"/>
      <c r="H29" s="42"/>
      <c r="I29" s="38">
        <f>C29+'参照用（触らない）'!$A$2</f>
        <v>0.68749999999999989</v>
      </c>
      <c r="J29" s="39"/>
      <c r="K29" s="39"/>
      <c r="L29" s="39"/>
      <c r="M29" s="39"/>
      <c r="N29" s="39"/>
      <c r="O29" s="39">
        <f>C29+'参照用（触らない）'!$A$1</f>
        <v>0.70833333333333315</v>
      </c>
      <c r="P29" s="39"/>
      <c r="Q29" s="39"/>
      <c r="R29" s="39"/>
      <c r="S29" s="39"/>
      <c r="T29" s="42"/>
      <c r="U29" s="38">
        <f>O29+'参照用（触らない）'!$A$2</f>
        <v>0.72916666666666652</v>
      </c>
      <c r="V29" s="39"/>
      <c r="W29" s="39"/>
      <c r="X29" s="39"/>
      <c r="Y29" s="39"/>
      <c r="Z29" s="39"/>
      <c r="AA29" s="39">
        <f>O29+'参照用（触らない）'!$A$1</f>
        <v>0.74999999999999978</v>
      </c>
      <c r="AB29" s="39"/>
      <c r="AC29" s="39"/>
      <c r="AD29" s="39"/>
      <c r="AE29" s="39"/>
      <c r="AF29" s="42"/>
      <c r="AG29" s="38">
        <f>AA29+'参照用（触らない）'!$A$2</f>
        <v>0.77083333333333315</v>
      </c>
      <c r="AH29" s="39"/>
      <c r="AI29" s="39"/>
      <c r="AJ29" s="39"/>
      <c r="AK29" s="39"/>
      <c r="AL29" s="39"/>
    </row>
    <row r="30" spans="1:38" ht="35.4" customHeight="1" thickTop="1">
      <c r="A30" s="30" t="s">
        <v>1</v>
      </c>
      <c r="B30" s="30"/>
      <c r="C30" s="16" t="s">
        <v>75</v>
      </c>
      <c r="D30" s="17"/>
      <c r="E30" s="17"/>
      <c r="F30" s="17"/>
      <c r="G30" s="17"/>
      <c r="H30" s="18"/>
      <c r="I30" s="36" t="s">
        <v>83</v>
      </c>
      <c r="J30" s="17"/>
      <c r="K30" s="17"/>
      <c r="L30" s="17"/>
      <c r="M30" s="17"/>
      <c r="N30" s="37"/>
      <c r="O30" s="16" t="s">
        <v>84</v>
      </c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37"/>
    </row>
    <row r="31" spans="1:38" ht="35.4" customHeight="1">
      <c r="A31" s="40" t="s">
        <v>78</v>
      </c>
      <c r="B31" s="40"/>
      <c r="C31" s="19"/>
      <c r="D31" s="20"/>
      <c r="E31" s="20"/>
      <c r="F31" s="20"/>
      <c r="G31" s="20"/>
      <c r="H31" s="21"/>
      <c r="I31" s="85"/>
      <c r="J31" s="20"/>
      <c r="K31" s="20"/>
      <c r="L31" s="20"/>
      <c r="M31" s="20"/>
      <c r="N31" s="86"/>
      <c r="O31" s="19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86"/>
    </row>
    <row r="32" spans="1:38" ht="35.4" customHeight="1" thickBot="1">
      <c r="A32" s="35" t="s">
        <v>79</v>
      </c>
      <c r="B32" s="35"/>
      <c r="C32" s="68" t="s">
        <v>85</v>
      </c>
      <c r="D32" s="68"/>
      <c r="E32" s="68"/>
      <c r="F32" s="68"/>
      <c r="G32" s="68"/>
      <c r="H32" s="87"/>
      <c r="I32" s="23"/>
      <c r="J32" s="23"/>
      <c r="K32" s="23"/>
      <c r="L32" s="23"/>
      <c r="M32" s="23"/>
      <c r="N32" s="29"/>
      <c r="O32" s="22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9"/>
    </row>
    <row r="33" spans="1:38" ht="57" customHeight="1" thickTop="1">
      <c r="A33" s="30" t="s">
        <v>39</v>
      </c>
      <c r="B33" s="30"/>
      <c r="C33" s="79" t="s">
        <v>120</v>
      </c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1"/>
      <c r="O33" s="12"/>
      <c r="P33" s="12"/>
      <c r="Q33" s="12"/>
      <c r="R33" s="12"/>
      <c r="S33" s="12"/>
      <c r="T33" s="31"/>
      <c r="U33" s="11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34"/>
      <c r="AG33" s="11"/>
      <c r="AH33" s="12"/>
      <c r="AI33" s="12"/>
      <c r="AJ33" s="12"/>
      <c r="AK33" s="12"/>
      <c r="AL33" s="12"/>
    </row>
    <row r="39" spans="1:38" ht="18.600000000000001" thickBot="1">
      <c r="A39" s="41"/>
      <c r="B39" s="41"/>
      <c r="C39" s="39">
        <f>AA29+'参照用（触らない）'!$A$1</f>
        <v>0.79166666666666641</v>
      </c>
      <c r="D39" s="39"/>
      <c r="E39" s="39"/>
      <c r="F39" s="39"/>
      <c r="G39" s="39"/>
      <c r="H39" s="42"/>
      <c r="I39" s="38">
        <f>C39+'参照用（触らない）'!$A$2</f>
        <v>0.81249999999999978</v>
      </c>
      <c r="J39" s="39"/>
      <c r="K39" s="39"/>
      <c r="L39" s="39"/>
      <c r="M39" s="39"/>
      <c r="N39" s="39"/>
      <c r="O39" s="39">
        <f>C39+'参照用（触らない）'!$A$1</f>
        <v>0.83333333333333304</v>
      </c>
      <c r="P39" s="39"/>
      <c r="Q39" s="39"/>
      <c r="R39" s="39"/>
      <c r="S39" s="39"/>
      <c r="T39" s="42"/>
      <c r="U39" s="38">
        <f>O39+'参照用（触らない）'!$A$2</f>
        <v>0.85416666666666641</v>
      </c>
      <c r="V39" s="39"/>
      <c r="W39" s="39"/>
      <c r="X39" s="39"/>
      <c r="Y39" s="39"/>
      <c r="Z39" s="39"/>
      <c r="AA39" s="39">
        <f>O39+'参照用（触らない）'!$A$1</f>
        <v>0.87499999999999967</v>
      </c>
      <c r="AB39" s="39"/>
      <c r="AC39" s="39"/>
      <c r="AD39" s="39"/>
      <c r="AE39" s="39"/>
      <c r="AF39" s="42"/>
      <c r="AG39" s="38">
        <f>AA39+'参照用（触らない）'!$A$2</f>
        <v>0.89583333333333304</v>
      </c>
      <c r="AH39" s="39"/>
      <c r="AI39" s="39"/>
      <c r="AJ39" s="39"/>
      <c r="AK39" s="39"/>
      <c r="AL39" s="39"/>
    </row>
    <row r="40" spans="1:38" ht="35.4" customHeight="1" thickTop="1">
      <c r="A40" s="30" t="s">
        <v>1</v>
      </c>
      <c r="B40" s="30"/>
      <c r="C40" s="16" t="s">
        <v>86</v>
      </c>
      <c r="D40" s="17"/>
      <c r="E40" s="17"/>
      <c r="F40" s="17"/>
      <c r="G40" s="17"/>
      <c r="H40" s="17"/>
      <c r="I40" s="36" t="s">
        <v>59</v>
      </c>
      <c r="J40" s="17"/>
      <c r="K40" s="17"/>
      <c r="L40" s="17"/>
      <c r="M40" s="17"/>
      <c r="N40" s="37"/>
      <c r="O40" s="16" t="s">
        <v>104</v>
      </c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36" t="s">
        <v>87</v>
      </c>
      <c r="AH40" s="17"/>
      <c r="AI40" s="17"/>
      <c r="AJ40" s="17"/>
      <c r="AK40" s="17"/>
      <c r="AL40" s="37"/>
    </row>
    <row r="41" spans="1:38" ht="35.4" customHeight="1">
      <c r="A41" s="40" t="s">
        <v>78</v>
      </c>
      <c r="B41" s="40"/>
      <c r="C41" s="19"/>
      <c r="D41" s="20"/>
      <c r="E41" s="20"/>
      <c r="F41" s="20"/>
      <c r="G41" s="20"/>
      <c r="H41" s="20"/>
      <c r="I41" s="85"/>
      <c r="J41" s="20"/>
      <c r="K41" s="20"/>
      <c r="L41" s="20"/>
      <c r="M41" s="20"/>
      <c r="N41" s="86"/>
      <c r="O41" s="7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3"/>
      <c r="AH41" s="82"/>
      <c r="AI41" s="82"/>
      <c r="AJ41" s="82"/>
      <c r="AK41" s="82"/>
      <c r="AL41" s="84"/>
    </row>
    <row r="42" spans="1:38" ht="35.4" customHeight="1" thickBot="1">
      <c r="A42" s="35" t="s">
        <v>79</v>
      </c>
      <c r="B42" s="35"/>
      <c r="C42" s="22"/>
      <c r="D42" s="23"/>
      <c r="E42" s="23"/>
      <c r="F42" s="23"/>
      <c r="G42" s="23"/>
      <c r="H42" s="23"/>
      <c r="I42" s="28"/>
      <c r="J42" s="23"/>
      <c r="K42" s="23"/>
      <c r="L42" s="23"/>
      <c r="M42" s="23"/>
      <c r="N42" s="29"/>
      <c r="O42" s="13" t="s">
        <v>69</v>
      </c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67" t="s">
        <v>88</v>
      </c>
      <c r="AH42" s="68"/>
      <c r="AI42" s="68"/>
      <c r="AJ42" s="68"/>
      <c r="AK42" s="68"/>
      <c r="AL42" s="68"/>
    </row>
    <row r="43" spans="1:38" ht="57" customHeight="1" thickTop="1">
      <c r="A43" s="30" t="s">
        <v>39</v>
      </c>
      <c r="B43" s="30"/>
      <c r="C43" s="79" t="s">
        <v>122</v>
      </c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1"/>
      <c r="O43" s="12"/>
      <c r="P43" s="12"/>
      <c r="Q43" s="12"/>
      <c r="R43" s="12"/>
      <c r="S43" s="12"/>
      <c r="T43" s="31"/>
      <c r="U43" s="11"/>
      <c r="V43" s="12"/>
      <c r="W43" s="12"/>
      <c r="X43" s="12"/>
      <c r="Y43" s="12"/>
      <c r="Z43" s="12"/>
      <c r="AA43" s="79" t="s">
        <v>121</v>
      </c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1"/>
    </row>
    <row r="47" spans="1:38">
      <c r="A47" s="103" t="s">
        <v>1</v>
      </c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6"/>
      <c r="V47" s="107" t="s">
        <v>79</v>
      </c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</row>
    <row r="48" spans="1:38">
      <c r="A48" s="78" t="str">
        <f>VLOOKUP('参照用（触らない）'!$B1,メンバー!$A$16:$H$25,2,FALSE)</f>
        <v>河元ケンヂ</v>
      </c>
      <c r="B48" s="78"/>
      <c r="C48" s="78"/>
      <c r="D48" s="78" t="str">
        <f>VLOOKUP('参照用（触らない）'!$B1,メンバー!$A$16:$H$25,5,FALSE)</f>
        <v>〇</v>
      </c>
      <c r="E48" s="78"/>
      <c r="F48" s="78"/>
      <c r="G48" s="104"/>
      <c r="H48" s="105" t="str">
        <f>VLOOKUP('参照用（触らない）'!$B5,メンバー!$A$16:$H$25,2,FALSE)</f>
        <v>真嶋 秀典</v>
      </c>
      <c r="I48" s="78"/>
      <c r="J48" s="78"/>
      <c r="K48" s="78" t="str">
        <f>VLOOKUP('参照用（触らない）'!$B5,メンバー!$A$16:$H$25,5,FALSE)</f>
        <v>〇</v>
      </c>
      <c r="L48" s="78"/>
      <c r="M48" s="78"/>
      <c r="N48" s="104"/>
      <c r="O48" s="105" t="str">
        <f>VLOOKUP('参照用（触らない）'!$B9,メンバー!$A$16:$H$25,2,FALSE)</f>
        <v>安河内 咲月</v>
      </c>
      <c r="P48" s="78"/>
      <c r="Q48" s="78"/>
      <c r="R48" s="78" t="str">
        <f>VLOOKUP('参照用（触らない）'!$B9,メンバー!$A$16:$H$25,5,FALSE)</f>
        <v>〇</v>
      </c>
      <c r="S48" s="78"/>
      <c r="T48" s="78"/>
      <c r="U48" s="104"/>
      <c r="V48" s="105" t="str">
        <f>VLOOKUP('参照用（触らない）'!$B1,メンバー!$A$4:$H$11,3,FALSE)</f>
        <v>丹波橋あかね</v>
      </c>
      <c r="W48" s="78"/>
      <c r="X48" s="78"/>
      <c r="Y48" s="78" t="str">
        <f>VLOOKUP('参照用（触らない）'!$B1,メンバー!$A$4:$H$11,5,FALSE)</f>
        <v>19～</v>
      </c>
      <c r="Z48" s="78"/>
      <c r="AA48" s="78"/>
      <c r="AB48" s="104"/>
      <c r="AC48" s="105" t="str">
        <f>VLOOKUP('参照用（触らない）'!$B5,メンバー!$A$4:$H$11,3,FALSE)</f>
        <v>いろ</v>
      </c>
      <c r="AD48" s="78"/>
      <c r="AE48" s="78"/>
      <c r="AF48" s="78" t="str">
        <f>VLOOKUP('参照用（触らない）'!$B5,メンバー!$A$4:$H$11,5,FALSE)</f>
        <v>〇</v>
      </c>
      <c r="AG48" s="78"/>
      <c r="AH48" s="78"/>
      <c r="AI48" s="78"/>
    </row>
    <row r="49" spans="1:35">
      <c r="A49" s="78" t="str">
        <f>VLOOKUP('参照用（触らない）'!$B2,メンバー!$A$16:$H$25,2,FALSE)</f>
        <v>橘</v>
      </c>
      <c r="B49" s="78"/>
      <c r="C49" s="78"/>
      <c r="D49" s="78" t="str">
        <f>VLOOKUP('参照用（触らない）'!$B2,メンバー!$A$16:$H$25,5,FALSE)</f>
        <v>〇</v>
      </c>
      <c r="E49" s="78"/>
      <c r="F49" s="78"/>
      <c r="G49" s="104"/>
      <c r="H49" s="105" t="str">
        <f>VLOOKUP('参照用（触らない）'!$B6,メンバー!$A$16:$H$25,2,FALSE)</f>
        <v>榎村 萌音</v>
      </c>
      <c r="I49" s="78"/>
      <c r="J49" s="78"/>
      <c r="K49" s="78" t="str">
        <f>VLOOKUP('参照用（触らない）'!$B6,メンバー!$A$16:$H$25,5,FALSE)</f>
        <v>14～</v>
      </c>
      <c r="L49" s="78"/>
      <c r="M49" s="78"/>
      <c r="N49" s="104"/>
      <c r="O49" s="105" t="str">
        <f>VLOOKUP('参照用（触らない）'!$B10,メンバー!$A$16:$H$25,2,FALSE)</f>
        <v>伊筑 早希</v>
      </c>
      <c r="P49" s="78"/>
      <c r="Q49" s="78"/>
      <c r="R49" s="78" t="str">
        <f>VLOOKUP('参照用（触らない）'!$B10,メンバー!$A$16:$H$25,5,FALSE)</f>
        <v>〇</v>
      </c>
      <c r="S49" s="78"/>
      <c r="T49" s="78"/>
      <c r="U49" s="104"/>
      <c r="V49" s="105" t="str">
        <f>VLOOKUP('参照用（触らない）'!$B2,メンバー!$A$4:$H$11,3,FALSE)</f>
        <v>蒼樹とも</v>
      </c>
      <c r="W49" s="78"/>
      <c r="X49" s="78"/>
      <c r="Y49" s="78" t="str">
        <f>VLOOKUP('参照用（触らない）'!$B2,メンバー!$A$4:$H$11,5,FALSE)</f>
        <v>〇</v>
      </c>
      <c r="Z49" s="78"/>
      <c r="AA49" s="78"/>
      <c r="AB49" s="104"/>
      <c r="AC49" s="105" t="str">
        <f>VLOOKUP('参照用（触らない）'!$B6,メンバー!$A$4:$H$11,3,FALSE)</f>
        <v>松尾明</v>
      </c>
      <c r="AD49" s="78"/>
      <c r="AE49" s="78"/>
      <c r="AF49" s="78" t="str">
        <f>VLOOKUP('参照用（触らない）'!$B6,メンバー!$A$4:$H$11,5,FALSE)</f>
        <v>〇</v>
      </c>
      <c r="AG49" s="78"/>
      <c r="AH49" s="78"/>
      <c r="AI49" s="78"/>
    </row>
    <row r="50" spans="1:35">
      <c r="A50" s="78" t="str">
        <f>VLOOKUP('参照用（触らない）'!$B3,メンバー!$A$16:$H$25,2,FALSE)</f>
        <v>豊 ゆうみ</v>
      </c>
      <c r="B50" s="78"/>
      <c r="C50" s="78"/>
      <c r="D50" s="78" t="str">
        <f>VLOOKUP('参照用（触らない）'!$B3,メンバー!$A$16:$H$25,5,FALSE)</f>
        <v>14～</v>
      </c>
      <c r="E50" s="78"/>
      <c r="F50" s="78"/>
      <c r="G50" s="104"/>
      <c r="H50" s="105" t="str">
        <f>VLOOKUP('参照用（触らない）'!$B7,メンバー!$A$16:$H$25,2,FALSE)</f>
        <v>大島 弥子</v>
      </c>
      <c r="I50" s="78"/>
      <c r="J50" s="78"/>
      <c r="K50" s="78" t="str">
        <f>VLOOKUP('参照用（触らない）'!$B7,メンバー!$A$16:$H$25,5,FALSE)</f>
        <v>〇</v>
      </c>
      <c r="L50" s="78"/>
      <c r="M50" s="78"/>
      <c r="N50" s="104"/>
      <c r="O50" s="105"/>
      <c r="P50" s="78"/>
      <c r="Q50" s="78"/>
      <c r="R50" s="78"/>
      <c r="S50" s="78"/>
      <c r="T50" s="78"/>
      <c r="U50" s="104"/>
      <c r="V50" s="105" t="str">
        <f>VLOOKUP('参照用（触らない）'!$B3,メンバー!$A$4:$H$11,3,FALSE)</f>
        <v>てんま1/2</v>
      </c>
      <c r="W50" s="78"/>
      <c r="X50" s="78"/>
      <c r="Y50" s="78" t="str">
        <f>VLOOKUP('参照用（触らない）'!$B3,メンバー!$A$4:$H$11,5,FALSE)</f>
        <v>〇</v>
      </c>
      <c r="Z50" s="78"/>
      <c r="AA50" s="78"/>
      <c r="AB50" s="104"/>
      <c r="AC50" s="105" t="str">
        <f>VLOOKUP('参照用（触らない）'!$B7,メンバー!$A$4:$H$11,3,FALSE)</f>
        <v>廣瀬雅</v>
      </c>
      <c r="AD50" s="78"/>
      <c r="AE50" s="78"/>
      <c r="AF50" s="78" t="str">
        <f>VLOOKUP('参照用（触らない）'!$B7,メンバー!$A$4:$H$11,5,FALSE)</f>
        <v>〇</v>
      </c>
      <c r="AG50" s="78"/>
      <c r="AH50" s="78"/>
      <c r="AI50" s="78"/>
    </row>
    <row r="51" spans="1:35">
      <c r="A51" s="78" t="str">
        <f>VLOOKUP('参照用（触らない）'!$B4,メンバー!$A$16:$H$25,2,FALSE)</f>
        <v>ベル</v>
      </c>
      <c r="B51" s="78"/>
      <c r="C51" s="78"/>
      <c r="D51" s="78" t="str">
        <f>VLOOKUP('参照用（触らない）'!$B4,メンバー!$A$16:$H$25,5,FALSE)</f>
        <v>14～</v>
      </c>
      <c r="E51" s="78"/>
      <c r="F51" s="78"/>
      <c r="G51" s="104"/>
      <c r="H51" s="105" t="str">
        <f>VLOOKUP('参照用（触らない）'!$B8,メンバー!$A$16:$H$25,2,FALSE)</f>
        <v>ゆうぞう</v>
      </c>
      <c r="I51" s="78"/>
      <c r="J51" s="78"/>
      <c r="K51" s="78" t="str">
        <f>VLOOKUP('参照用（触らない）'!$B8,メンバー!$A$16:$H$25,5,FALSE)</f>
        <v>14～</v>
      </c>
      <c r="L51" s="78"/>
      <c r="M51" s="78"/>
      <c r="N51" s="104"/>
      <c r="O51" s="105"/>
      <c r="P51" s="78"/>
      <c r="Q51" s="78"/>
      <c r="R51" s="78"/>
      <c r="S51" s="78"/>
      <c r="T51" s="78"/>
      <c r="U51" s="104"/>
      <c r="V51" s="105" t="str">
        <f>VLOOKUP('参照用（触らない）'!$B4,メンバー!$A$4:$H$11,3,FALSE)</f>
        <v>菅原 三花</v>
      </c>
      <c r="W51" s="78"/>
      <c r="X51" s="78"/>
      <c r="Y51" s="78" t="str">
        <f>VLOOKUP('参照用（触らない）'!$B4,メンバー!$A$4:$H$11,5,FALSE)</f>
        <v>〇</v>
      </c>
      <c r="Z51" s="78"/>
      <c r="AA51" s="78"/>
      <c r="AB51" s="104"/>
      <c r="AC51" s="105"/>
      <c r="AD51" s="78"/>
      <c r="AE51" s="78"/>
      <c r="AF51" s="78"/>
      <c r="AG51" s="78"/>
      <c r="AH51" s="78"/>
      <c r="AI51" s="78"/>
    </row>
  </sheetData>
  <mergeCells count="143">
    <mergeCell ref="AF50:AI50"/>
    <mergeCell ref="A47:U47"/>
    <mergeCell ref="V47:AI47"/>
    <mergeCell ref="A51:C51"/>
    <mergeCell ref="D51:G51"/>
    <mergeCell ref="H51:J51"/>
    <mergeCell ref="K51:N51"/>
    <mergeCell ref="O51:Q51"/>
    <mergeCell ref="R51:U51"/>
    <mergeCell ref="V51:X51"/>
    <mergeCell ref="Y51:AB51"/>
    <mergeCell ref="AC51:AE51"/>
    <mergeCell ref="AF51:AI51"/>
    <mergeCell ref="A50:C50"/>
    <mergeCell ref="D50:G50"/>
    <mergeCell ref="H50:J50"/>
    <mergeCell ref="K50:N50"/>
    <mergeCell ref="O50:Q50"/>
    <mergeCell ref="R50:U50"/>
    <mergeCell ref="V50:X50"/>
    <mergeCell ref="Y50:AB50"/>
    <mergeCell ref="AC50:AE50"/>
    <mergeCell ref="AF48:AI48"/>
    <mergeCell ref="A49:C49"/>
    <mergeCell ref="D49:G49"/>
    <mergeCell ref="H49:J49"/>
    <mergeCell ref="K49:N49"/>
    <mergeCell ref="O49:Q49"/>
    <mergeCell ref="R49:U49"/>
    <mergeCell ref="V49:X49"/>
    <mergeCell ref="Y49:AB49"/>
    <mergeCell ref="AC49:AE49"/>
    <mergeCell ref="AF49:AI49"/>
    <mergeCell ref="A48:C48"/>
    <mergeCell ref="D48:G48"/>
    <mergeCell ref="H48:J48"/>
    <mergeCell ref="K48:N48"/>
    <mergeCell ref="O48:Q48"/>
    <mergeCell ref="R48:U48"/>
    <mergeCell ref="V48:X48"/>
    <mergeCell ref="Y48:AB48"/>
    <mergeCell ref="AC48:AE48"/>
    <mergeCell ref="A1:B1"/>
    <mergeCell ref="C1:J1"/>
    <mergeCell ref="L1:U1"/>
    <mergeCell ref="W1:Z1"/>
    <mergeCell ref="AA1:AL1"/>
    <mergeCell ref="A2:B2"/>
    <mergeCell ref="C2:J2"/>
    <mergeCell ref="L2:Q2"/>
    <mergeCell ref="R2:U2"/>
    <mergeCell ref="W2:Z2"/>
    <mergeCell ref="D8:F8"/>
    <mergeCell ref="A9:B9"/>
    <mergeCell ref="C9:H9"/>
    <mergeCell ref="I9:N9"/>
    <mergeCell ref="O9:T9"/>
    <mergeCell ref="U9:Z9"/>
    <mergeCell ref="AA2:AL2"/>
    <mergeCell ref="L3:Q3"/>
    <mergeCell ref="R3:U3"/>
    <mergeCell ref="W3:Z4"/>
    <mergeCell ref="AA3:AL3"/>
    <mergeCell ref="AA4:AL4"/>
    <mergeCell ref="A12:B12"/>
    <mergeCell ref="C12:H12"/>
    <mergeCell ref="I12:N12"/>
    <mergeCell ref="A11:B11"/>
    <mergeCell ref="C11:H11"/>
    <mergeCell ref="I11:N11"/>
    <mergeCell ref="O10:AL11"/>
    <mergeCell ref="AA9:AF9"/>
    <mergeCell ref="AG9:AL9"/>
    <mergeCell ref="A10:B10"/>
    <mergeCell ref="C10:H10"/>
    <mergeCell ref="I10:N10"/>
    <mergeCell ref="O12:AL12"/>
    <mergeCell ref="AG13:AL13"/>
    <mergeCell ref="A19:B19"/>
    <mergeCell ref="C19:H19"/>
    <mergeCell ref="I19:N19"/>
    <mergeCell ref="O19:T19"/>
    <mergeCell ref="U19:Z19"/>
    <mergeCell ref="AA19:AF19"/>
    <mergeCell ref="AG19:AL19"/>
    <mergeCell ref="A13:B13"/>
    <mergeCell ref="C13:H13"/>
    <mergeCell ref="I13:N13"/>
    <mergeCell ref="AA13:AF13"/>
    <mergeCell ref="O13:Z13"/>
    <mergeCell ref="A29:B29"/>
    <mergeCell ref="C29:H29"/>
    <mergeCell ref="I29:N29"/>
    <mergeCell ref="O29:T29"/>
    <mergeCell ref="U29:Z29"/>
    <mergeCell ref="AA29:AF29"/>
    <mergeCell ref="A22:B22"/>
    <mergeCell ref="O22:AL22"/>
    <mergeCell ref="A23:B23"/>
    <mergeCell ref="C23:H23"/>
    <mergeCell ref="I23:N23"/>
    <mergeCell ref="AA23:AF23"/>
    <mergeCell ref="AG23:AL23"/>
    <mergeCell ref="O23:Z23"/>
    <mergeCell ref="C20:N22"/>
    <mergeCell ref="A20:B20"/>
    <mergeCell ref="A21:B21"/>
    <mergeCell ref="O20:AL21"/>
    <mergeCell ref="O43:T43"/>
    <mergeCell ref="U43:Z43"/>
    <mergeCell ref="A39:B39"/>
    <mergeCell ref="C39:H39"/>
    <mergeCell ref="I39:N39"/>
    <mergeCell ref="O39:T39"/>
    <mergeCell ref="U39:Z39"/>
    <mergeCell ref="AA39:AF39"/>
    <mergeCell ref="A31:B31"/>
    <mergeCell ref="O30:AL32"/>
    <mergeCell ref="A32:B32"/>
    <mergeCell ref="A33:B33"/>
    <mergeCell ref="O33:T33"/>
    <mergeCell ref="U33:Z33"/>
    <mergeCell ref="AA33:AF33"/>
    <mergeCell ref="AG33:AL33"/>
    <mergeCell ref="AG29:AL29"/>
    <mergeCell ref="A30:B30"/>
    <mergeCell ref="AA43:AL43"/>
    <mergeCell ref="C43:N43"/>
    <mergeCell ref="O40:AF41"/>
    <mergeCell ref="AG40:AL41"/>
    <mergeCell ref="O42:AF42"/>
    <mergeCell ref="AG42:AL42"/>
    <mergeCell ref="C33:N33"/>
    <mergeCell ref="C30:H31"/>
    <mergeCell ref="I40:N42"/>
    <mergeCell ref="C40:H42"/>
    <mergeCell ref="C32:H32"/>
    <mergeCell ref="I30:N32"/>
    <mergeCell ref="A41:B41"/>
    <mergeCell ref="AG39:AL39"/>
    <mergeCell ref="A40:B40"/>
    <mergeCell ref="A42:B42"/>
    <mergeCell ref="A43:B43"/>
  </mergeCells>
  <phoneticPr fontId="2"/>
  <pageMargins left="0.7" right="0.7" top="0.75" bottom="0.75" header="0.3" footer="0.3"/>
  <pageSetup paperSize="9" scale="54" orientation="portrait" horizontalDpi="4294967293" r:id="rId1"/>
  <ignoredErrors>
    <ignoredError sqref="O9 AA9 AA19 O19 O29 AA29 O39 AA39 U9 U19 U29 U39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DF894-9FE6-4735-BC8B-8AD7E2401F83}">
  <dimension ref="A1:AL51"/>
  <sheetViews>
    <sheetView view="pageBreakPreview" zoomScale="60" zoomScaleNormal="100" zoomScalePageLayoutView="75" workbookViewId="0">
      <selection activeCell="AF50" sqref="AF50:AI50"/>
    </sheetView>
  </sheetViews>
  <sheetFormatPr defaultColWidth="3.69921875" defaultRowHeight="18"/>
  <cols>
    <col min="1" max="2" width="3.69921875" style="1"/>
    <col min="3" max="3" width="3.69921875" style="1" customWidth="1"/>
    <col min="4" max="4" width="3.69921875" style="1"/>
    <col min="5" max="5" width="3.69921875" style="1" customWidth="1"/>
    <col min="6" max="14" width="3.69921875" style="1"/>
    <col min="15" max="15" width="3.69921875" style="1" customWidth="1"/>
    <col min="16" max="16384" width="3.69921875" style="1"/>
  </cols>
  <sheetData>
    <row r="1" spans="1:38">
      <c r="A1" s="40" t="s">
        <v>40</v>
      </c>
      <c r="B1" s="40"/>
      <c r="C1" s="78" t="s">
        <v>41</v>
      </c>
      <c r="D1" s="78"/>
      <c r="E1" s="78"/>
      <c r="F1" s="78"/>
      <c r="G1" s="78"/>
      <c r="H1" s="78"/>
      <c r="I1" s="78"/>
      <c r="J1" s="78"/>
      <c r="L1" s="40" t="s">
        <v>51</v>
      </c>
      <c r="M1" s="40"/>
      <c r="N1" s="40"/>
      <c r="O1" s="40"/>
      <c r="P1" s="40"/>
      <c r="Q1" s="40"/>
      <c r="R1" s="40"/>
      <c r="S1" s="40"/>
      <c r="T1" s="40"/>
      <c r="U1" s="40"/>
      <c r="W1" s="40" t="s">
        <v>44</v>
      </c>
      <c r="X1" s="40"/>
      <c r="Y1" s="40"/>
      <c r="Z1" s="40"/>
      <c r="AA1" s="78" t="s">
        <v>47</v>
      </c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</row>
    <row r="2" spans="1:38">
      <c r="A2" s="40" t="s">
        <v>42</v>
      </c>
      <c r="B2" s="40"/>
      <c r="C2" s="78" t="s">
        <v>43</v>
      </c>
      <c r="D2" s="78"/>
      <c r="E2" s="78"/>
      <c r="F2" s="78"/>
      <c r="G2" s="78"/>
      <c r="H2" s="78"/>
      <c r="I2" s="78"/>
      <c r="J2" s="78"/>
      <c r="L2" s="78" t="s">
        <v>52</v>
      </c>
      <c r="M2" s="78"/>
      <c r="N2" s="78"/>
      <c r="O2" s="78"/>
      <c r="P2" s="78"/>
      <c r="Q2" s="78"/>
      <c r="R2" s="78" t="s">
        <v>54</v>
      </c>
      <c r="S2" s="78"/>
      <c r="T2" s="78"/>
      <c r="U2" s="78"/>
      <c r="W2" s="40" t="s">
        <v>45</v>
      </c>
      <c r="X2" s="40"/>
      <c r="Y2" s="40"/>
      <c r="Z2" s="40"/>
      <c r="AA2" s="78" t="s">
        <v>48</v>
      </c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</row>
    <row r="3" spans="1:38">
      <c r="L3" s="78" t="s">
        <v>53</v>
      </c>
      <c r="M3" s="78"/>
      <c r="N3" s="78"/>
      <c r="O3" s="78"/>
      <c r="P3" s="78"/>
      <c r="Q3" s="78"/>
      <c r="R3" s="78" t="s">
        <v>55</v>
      </c>
      <c r="S3" s="78"/>
      <c r="T3" s="78"/>
      <c r="U3" s="78"/>
      <c r="W3" s="40" t="s">
        <v>46</v>
      </c>
      <c r="X3" s="40"/>
      <c r="Y3" s="40"/>
      <c r="Z3" s="40"/>
      <c r="AA3" s="78" t="s">
        <v>49</v>
      </c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</row>
    <row r="4" spans="1:38">
      <c r="W4" s="40"/>
      <c r="X4" s="40"/>
      <c r="Y4" s="40"/>
      <c r="Z4" s="40"/>
      <c r="AA4" s="78" t="s">
        <v>50</v>
      </c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</row>
    <row r="8" spans="1:38">
      <c r="A8" s="1" t="s">
        <v>89</v>
      </c>
      <c r="D8" s="77">
        <v>0.41666666666666669</v>
      </c>
      <c r="E8" s="77"/>
      <c r="F8" s="77"/>
    </row>
    <row r="9" spans="1:38" s="2" customFormat="1" ht="18.600000000000001" thickBot="1">
      <c r="A9" s="41"/>
      <c r="B9" s="41"/>
      <c r="C9" s="39">
        <f>D8</f>
        <v>0.41666666666666669</v>
      </c>
      <c r="D9" s="39"/>
      <c r="E9" s="39"/>
      <c r="F9" s="39"/>
      <c r="G9" s="39"/>
      <c r="H9" s="42"/>
      <c r="I9" s="38">
        <f>C9+'参照用（触らない）'!$A$2</f>
        <v>0.4375</v>
      </c>
      <c r="J9" s="39"/>
      <c r="K9" s="39"/>
      <c r="L9" s="39"/>
      <c r="M9" s="39"/>
      <c r="N9" s="39"/>
      <c r="O9" s="39">
        <f>C9+'参照用（触らない）'!$A$1</f>
        <v>0.45833333333333337</v>
      </c>
      <c r="P9" s="39"/>
      <c r="Q9" s="39"/>
      <c r="R9" s="39"/>
      <c r="S9" s="39"/>
      <c r="T9" s="42"/>
      <c r="U9" s="38">
        <f>O9+'参照用（触らない）'!$A$2</f>
        <v>0.47916666666666669</v>
      </c>
      <c r="V9" s="39"/>
      <c r="W9" s="39"/>
      <c r="X9" s="39"/>
      <c r="Y9" s="39"/>
      <c r="Z9" s="39"/>
      <c r="AA9" s="39">
        <f>O9+'参照用（触らない）'!$A$1</f>
        <v>0.5</v>
      </c>
      <c r="AB9" s="39"/>
      <c r="AC9" s="39"/>
      <c r="AD9" s="39"/>
      <c r="AE9" s="39"/>
      <c r="AF9" s="96"/>
      <c r="AG9" s="38">
        <f>AA9+'参照用（触らない）'!$A$2</f>
        <v>0.52083333333333337</v>
      </c>
      <c r="AH9" s="39"/>
      <c r="AI9" s="39"/>
      <c r="AJ9" s="39"/>
      <c r="AK9" s="39"/>
      <c r="AL9" s="39"/>
    </row>
    <row r="10" spans="1:38" ht="35.4" customHeight="1" thickTop="1">
      <c r="A10" s="30" t="s">
        <v>1</v>
      </c>
      <c r="B10" s="30"/>
      <c r="C10" s="16" t="s">
        <v>90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36" t="s">
        <v>93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8"/>
      <c r="AG10" s="17" t="s">
        <v>94</v>
      </c>
      <c r="AH10" s="17"/>
      <c r="AI10" s="17"/>
      <c r="AJ10" s="17"/>
      <c r="AK10" s="17"/>
      <c r="AL10" s="37"/>
    </row>
    <row r="11" spans="1:38" ht="35.4" customHeight="1">
      <c r="A11" s="40" t="s">
        <v>78</v>
      </c>
      <c r="B11" s="40"/>
      <c r="C11" s="7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5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1"/>
      <c r="AG11" s="20"/>
      <c r="AH11" s="20"/>
      <c r="AI11" s="20"/>
      <c r="AJ11" s="20"/>
      <c r="AK11" s="20"/>
      <c r="AL11" s="86"/>
    </row>
    <row r="12" spans="1:38" ht="35.4" customHeight="1" thickBot="1">
      <c r="A12" s="35" t="s">
        <v>79</v>
      </c>
      <c r="B12" s="35"/>
      <c r="C12" s="13" t="s">
        <v>91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28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4"/>
      <c r="AG12" s="23"/>
      <c r="AH12" s="23"/>
      <c r="AI12" s="23"/>
      <c r="AJ12" s="23"/>
      <c r="AK12" s="23"/>
      <c r="AL12" s="29"/>
    </row>
    <row r="13" spans="1:38" ht="57" customHeight="1" thickTop="1">
      <c r="A13" s="30" t="s">
        <v>39</v>
      </c>
      <c r="B13" s="30"/>
      <c r="C13" s="93" t="s">
        <v>123</v>
      </c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5"/>
      <c r="O13" s="51"/>
      <c r="P13" s="51"/>
      <c r="Q13" s="51"/>
      <c r="R13" s="51"/>
      <c r="S13" s="51"/>
      <c r="T13" s="57"/>
      <c r="U13" s="50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7"/>
      <c r="AG13" s="50"/>
      <c r="AH13" s="51"/>
      <c r="AI13" s="51"/>
      <c r="AJ13" s="51"/>
      <c r="AK13" s="51"/>
      <c r="AL13" s="51"/>
    </row>
    <row r="19" spans="1:38" ht="18.600000000000001" thickBot="1">
      <c r="A19" s="41"/>
      <c r="B19" s="41"/>
      <c r="C19" s="39">
        <f>AA9+'参照用（触らない）'!$A$1</f>
        <v>0.54166666666666663</v>
      </c>
      <c r="D19" s="39"/>
      <c r="E19" s="39"/>
      <c r="F19" s="39"/>
      <c r="G19" s="39"/>
      <c r="H19" s="42"/>
      <c r="I19" s="38">
        <f>C19+'参照用（触らない）'!$A$2</f>
        <v>0.5625</v>
      </c>
      <c r="J19" s="39"/>
      <c r="K19" s="39"/>
      <c r="L19" s="39"/>
      <c r="M19" s="39"/>
      <c r="N19" s="39"/>
      <c r="O19" s="39">
        <f>C19+'参照用（触らない）'!$A$1</f>
        <v>0.58333333333333326</v>
      </c>
      <c r="P19" s="39"/>
      <c r="Q19" s="39"/>
      <c r="R19" s="39"/>
      <c r="S19" s="39"/>
      <c r="T19" s="42"/>
      <c r="U19" s="38">
        <f>O19+'参照用（触らない）'!$A$2</f>
        <v>0.60416666666666663</v>
      </c>
      <c r="V19" s="39"/>
      <c r="W19" s="39"/>
      <c r="X19" s="39"/>
      <c r="Y19" s="39"/>
      <c r="Z19" s="39"/>
      <c r="AA19" s="39">
        <f>O19+'参照用（触らない）'!$A$1</f>
        <v>0.62499999999999989</v>
      </c>
      <c r="AB19" s="39"/>
      <c r="AC19" s="39"/>
      <c r="AD19" s="39"/>
      <c r="AE19" s="39"/>
      <c r="AF19" s="42"/>
      <c r="AG19" s="38">
        <f>AA19+'参照用（触らない）'!$A$2</f>
        <v>0.64583333333333326</v>
      </c>
      <c r="AH19" s="39"/>
      <c r="AI19" s="39"/>
      <c r="AJ19" s="39"/>
      <c r="AK19" s="39"/>
      <c r="AL19" s="39"/>
    </row>
    <row r="20" spans="1:38" ht="35.4" customHeight="1" thickTop="1">
      <c r="A20" s="30" t="s">
        <v>1</v>
      </c>
      <c r="B20" s="30"/>
      <c r="C20" s="16" t="s">
        <v>92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37"/>
      <c r="AA20" s="16" t="s">
        <v>86</v>
      </c>
      <c r="AB20" s="17"/>
      <c r="AC20" s="17"/>
      <c r="AD20" s="17"/>
      <c r="AE20" s="17"/>
      <c r="AF20" s="17"/>
      <c r="AG20" s="36" t="s">
        <v>95</v>
      </c>
      <c r="AH20" s="17"/>
      <c r="AI20" s="17"/>
      <c r="AJ20" s="17"/>
      <c r="AK20" s="17"/>
      <c r="AL20" s="37"/>
    </row>
    <row r="21" spans="1:38" ht="35.4" customHeight="1">
      <c r="A21" s="40" t="s">
        <v>78</v>
      </c>
      <c r="B21" s="40"/>
      <c r="C21" s="19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86"/>
      <c r="AA21" s="19"/>
      <c r="AB21" s="20"/>
      <c r="AC21" s="20"/>
      <c r="AD21" s="20"/>
      <c r="AE21" s="20"/>
      <c r="AF21" s="20"/>
      <c r="AG21" s="85"/>
      <c r="AH21" s="20"/>
      <c r="AI21" s="20"/>
      <c r="AJ21" s="20"/>
      <c r="AK21" s="20"/>
      <c r="AL21" s="86"/>
    </row>
    <row r="22" spans="1:38" ht="35.4" customHeight="1" thickBot="1">
      <c r="A22" s="35" t="s">
        <v>79</v>
      </c>
      <c r="B22" s="35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9"/>
      <c r="AA22" s="22"/>
      <c r="AB22" s="23"/>
      <c r="AC22" s="23"/>
      <c r="AD22" s="23"/>
      <c r="AE22" s="23"/>
      <c r="AF22" s="23"/>
      <c r="AG22" s="28"/>
      <c r="AH22" s="23"/>
      <c r="AI22" s="23"/>
      <c r="AJ22" s="23"/>
      <c r="AK22" s="23"/>
      <c r="AL22" s="29"/>
    </row>
    <row r="23" spans="1:38" ht="57" customHeight="1" thickTop="1">
      <c r="A23" s="30" t="s">
        <v>39</v>
      </c>
      <c r="B23" s="30"/>
      <c r="C23" s="51"/>
      <c r="D23" s="51"/>
      <c r="E23" s="51"/>
      <c r="F23" s="51"/>
      <c r="G23" s="51"/>
      <c r="H23" s="57"/>
      <c r="I23" s="50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7"/>
      <c r="U23" s="50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7"/>
      <c r="AG23" s="50"/>
      <c r="AH23" s="51"/>
      <c r="AI23" s="51"/>
      <c r="AJ23" s="51"/>
      <c r="AK23" s="51"/>
      <c r="AL23" s="51"/>
    </row>
    <row r="29" spans="1:38" ht="18.600000000000001" thickBot="1">
      <c r="A29" s="41"/>
      <c r="B29" s="41"/>
      <c r="C29" s="39">
        <f>AA19+'参照用（触らない）'!$A$1</f>
        <v>0.66666666666666652</v>
      </c>
      <c r="D29" s="39"/>
      <c r="E29" s="39"/>
      <c r="F29" s="39"/>
      <c r="G29" s="39"/>
      <c r="H29" s="42"/>
      <c r="I29" s="38">
        <f>C29+'参照用（触らない）'!$A$2</f>
        <v>0.68749999999999989</v>
      </c>
      <c r="J29" s="39"/>
      <c r="K29" s="39"/>
      <c r="L29" s="39"/>
      <c r="M29" s="39"/>
      <c r="N29" s="39"/>
      <c r="O29" s="39">
        <f>C29+'参照用（触らない）'!$A$1</f>
        <v>0.70833333333333315</v>
      </c>
      <c r="P29" s="39"/>
      <c r="Q29" s="39"/>
      <c r="R29" s="39"/>
      <c r="S29" s="39"/>
      <c r="T29" s="42"/>
      <c r="U29" s="38">
        <f>O29+'参照用（触らない）'!$A$2</f>
        <v>0.72916666666666652</v>
      </c>
      <c r="V29" s="39"/>
      <c r="W29" s="39"/>
      <c r="X29" s="39"/>
      <c r="Y29" s="39"/>
      <c r="Z29" s="39"/>
      <c r="AA29" s="39">
        <f>O29+'参照用（触らない）'!$A$1</f>
        <v>0.74999999999999978</v>
      </c>
      <c r="AB29" s="39"/>
      <c r="AC29" s="39"/>
      <c r="AD29" s="39"/>
      <c r="AE29" s="39"/>
      <c r="AF29" s="42"/>
      <c r="AG29" s="38">
        <f>AA29+'参照用（触らない）'!$A$2</f>
        <v>0.77083333333333315</v>
      </c>
      <c r="AH29" s="39"/>
      <c r="AI29" s="39"/>
      <c r="AJ29" s="39"/>
      <c r="AK29" s="39"/>
      <c r="AL29" s="39"/>
    </row>
    <row r="30" spans="1:38" ht="35.4" customHeight="1" thickTop="1">
      <c r="A30" s="30" t="s">
        <v>1</v>
      </c>
      <c r="B30" s="30"/>
      <c r="C30" s="16" t="s">
        <v>133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8"/>
      <c r="U30" s="36" t="s">
        <v>100</v>
      </c>
      <c r="V30" s="17"/>
      <c r="W30" s="17"/>
      <c r="X30" s="17"/>
      <c r="Y30" s="17"/>
      <c r="Z30" s="37"/>
      <c r="AA30" s="17" t="s">
        <v>96</v>
      </c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37"/>
    </row>
    <row r="31" spans="1:38" ht="35.4" customHeight="1">
      <c r="A31" s="40" t="s">
        <v>78</v>
      </c>
      <c r="B31" s="40"/>
      <c r="C31" s="19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21"/>
      <c r="U31" s="85"/>
      <c r="V31" s="102"/>
      <c r="W31" s="102"/>
      <c r="X31" s="102"/>
      <c r="Y31" s="102"/>
      <c r="Z31" s="86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86"/>
    </row>
    <row r="32" spans="1:38" ht="35.4" customHeight="1" thickBot="1">
      <c r="A32" s="35" t="s">
        <v>79</v>
      </c>
      <c r="B32" s="35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4"/>
      <c r="U32" s="28"/>
      <c r="V32" s="23"/>
      <c r="W32" s="23"/>
      <c r="X32" s="23"/>
      <c r="Y32" s="23"/>
      <c r="Z32" s="29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9"/>
    </row>
    <row r="33" spans="1:38" ht="57" customHeight="1" thickTop="1">
      <c r="A33" s="30" t="s">
        <v>39</v>
      </c>
      <c r="B33" s="30"/>
      <c r="C33" s="51"/>
      <c r="D33" s="51"/>
      <c r="E33" s="51"/>
      <c r="F33" s="51"/>
      <c r="G33" s="51"/>
      <c r="H33" s="57"/>
      <c r="I33" s="50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7"/>
      <c r="U33" s="50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7"/>
      <c r="AG33" s="50"/>
      <c r="AH33" s="51"/>
      <c r="AI33" s="51"/>
      <c r="AJ33" s="51"/>
      <c r="AK33" s="51"/>
      <c r="AL33" s="51"/>
    </row>
    <row r="39" spans="1:38" ht="18.600000000000001" thickBot="1">
      <c r="A39" s="41"/>
      <c r="B39" s="41"/>
      <c r="C39" s="39">
        <f>AA29+'参照用（触らない）'!$A$1</f>
        <v>0.79166666666666641</v>
      </c>
      <c r="D39" s="39"/>
      <c r="E39" s="39"/>
      <c r="F39" s="39"/>
      <c r="G39" s="39"/>
      <c r="H39" s="42"/>
      <c r="I39" s="38">
        <f>C39+'参照用（触らない）'!$A$2</f>
        <v>0.81249999999999978</v>
      </c>
      <c r="J39" s="39"/>
      <c r="K39" s="39"/>
      <c r="L39" s="39"/>
      <c r="M39" s="39"/>
      <c r="N39" s="39"/>
      <c r="O39" s="39">
        <f>C39+'参照用（触らない）'!$A$1</f>
        <v>0.83333333333333304</v>
      </c>
      <c r="P39" s="39"/>
      <c r="Q39" s="39"/>
      <c r="R39" s="39"/>
      <c r="S39" s="39"/>
      <c r="T39" s="42"/>
      <c r="U39" s="38">
        <f>O39+'参照用（触らない）'!$A$2</f>
        <v>0.85416666666666641</v>
      </c>
      <c r="V39" s="39"/>
      <c r="W39" s="39"/>
      <c r="X39" s="39"/>
      <c r="Y39" s="39"/>
      <c r="Z39" s="39"/>
      <c r="AA39" s="39">
        <f>O39+'参照用（触らない）'!$A$1</f>
        <v>0.87499999999999967</v>
      </c>
      <c r="AB39" s="39"/>
      <c r="AC39" s="39"/>
      <c r="AD39" s="39"/>
      <c r="AE39" s="39"/>
      <c r="AF39" s="42"/>
      <c r="AG39" s="38">
        <f>AA39+'参照用（触らない）'!$A$2</f>
        <v>0.89583333333333304</v>
      </c>
      <c r="AH39" s="39"/>
      <c r="AI39" s="39"/>
      <c r="AJ39" s="39"/>
      <c r="AK39" s="39"/>
      <c r="AL39" s="39"/>
    </row>
    <row r="40" spans="1:38" ht="35.4" customHeight="1" thickTop="1">
      <c r="A40" s="30" t="s">
        <v>1</v>
      </c>
      <c r="B40" s="30"/>
      <c r="C40" s="17" t="s">
        <v>96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37"/>
      <c r="O40" s="17" t="s">
        <v>86</v>
      </c>
      <c r="P40" s="17"/>
      <c r="Q40" s="17"/>
      <c r="R40" s="17"/>
      <c r="S40" s="17"/>
      <c r="T40" s="17"/>
      <c r="U40" s="17" t="s">
        <v>101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8"/>
      <c r="AG40" s="36" t="s">
        <v>97</v>
      </c>
      <c r="AH40" s="17"/>
      <c r="AI40" s="17"/>
      <c r="AJ40" s="17"/>
      <c r="AK40" s="17"/>
      <c r="AL40" s="37"/>
    </row>
    <row r="41" spans="1:38" ht="35.4" customHeight="1">
      <c r="A41" s="40" t="s">
        <v>78</v>
      </c>
      <c r="B41" s="40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86"/>
      <c r="O41" s="102"/>
      <c r="P41" s="102"/>
      <c r="Q41" s="102"/>
      <c r="R41" s="102"/>
      <c r="S41" s="102"/>
      <c r="T41" s="10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91"/>
      <c r="AG41" s="85"/>
      <c r="AH41" s="20"/>
      <c r="AI41" s="20"/>
      <c r="AJ41" s="20"/>
      <c r="AK41" s="20"/>
      <c r="AL41" s="86"/>
    </row>
    <row r="42" spans="1:38" ht="35.4" customHeight="1" thickBot="1">
      <c r="A42" s="35" t="s">
        <v>79</v>
      </c>
      <c r="B42" s="35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9"/>
      <c r="O42" s="23"/>
      <c r="P42" s="23"/>
      <c r="Q42" s="23"/>
      <c r="R42" s="23"/>
      <c r="S42" s="23"/>
      <c r="T42" s="23"/>
      <c r="U42" s="14" t="s">
        <v>102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92"/>
      <c r="AG42" s="28"/>
      <c r="AH42" s="23"/>
      <c r="AI42" s="23"/>
      <c r="AJ42" s="23"/>
      <c r="AK42" s="23"/>
      <c r="AL42" s="29"/>
    </row>
    <row r="43" spans="1:38" ht="57" customHeight="1" thickTop="1">
      <c r="A43" s="30" t="s">
        <v>39</v>
      </c>
      <c r="B43" s="30"/>
      <c r="C43" s="51"/>
      <c r="D43" s="51"/>
      <c r="E43" s="51"/>
      <c r="F43" s="51"/>
      <c r="G43" s="51"/>
      <c r="H43" s="57"/>
      <c r="I43" s="50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7"/>
      <c r="U43" s="50"/>
      <c r="V43" s="51"/>
      <c r="W43" s="51"/>
      <c r="X43" s="51"/>
      <c r="Y43" s="51"/>
      <c r="Z43" s="51"/>
      <c r="AA43" s="88" t="s">
        <v>120</v>
      </c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90"/>
    </row>
    <row r="47" spans="1:38">
      <c r="A47" s="103" t="s">
        <v>1</v>
      </c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6"/>
      <c r="V47" s="107" t="s">
        <v>79</v>
      </c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</row>
    <row r="48" spans="1:38">
      <c r="A48" s="78" t="str">
        <f>VLOOKUP('参照用（触らない）'!$B1,メンバー!$A$16:$H$25,2,FALSE)</f>
        <v>河元ケンヂ</v>
      </c>
      <c r="B48" s="78"/>
      <c r="C48" s="78"/>
      <c r="D48" s="78" t="str">
        <f>VLOOKUP('参照用（触らない）'!$B1,メンバー!$A$16:$H$25,6,FALSE)</f>
        <v>〇</v>
      </c>
      <c r="E48" s="78"/>
      <c r="F48" s="78"/>
      <c r="G48" s="104"/>
      <c r="H48" s="105" t="str">
        <f>VLOOKUP('参照用（触らない）'!$B5,メンバー!$A$16:$H$25,2,FALSE)</f>
        <v>真嶋 秀典</v>
      </c>
      <c r="I48" s="78"/>
      <c r="J48" s="78"/>
      <c r="K48" s="78" t="str">
        <f>VLOOKUP('参照用（触らない）'!$B5,メンバー!$A$16:$H$25,6,FALSE)</f>
        <v>〇</v>
      </c>
      <c r="L48" s="78"/>
      <c r="M48" s="78"/>
      <c r="N48" s="104"/>
      <c r="O48" s="105" t="str">
        <f>VLOOKUP('参照用（触らない）'!$B9,メンバー!$A$16:$H$25,2,FALSE)</f>
        <v>安河内 咲月</v>
      </c>
      <c r="P48" s="78"/>
      <c r="Q48" s="78"/>
      <c r="R48" s="78" t="str">
        <f>VLOOKUP('参照用（触らない）'!$B9,メンバー!$A$16:$H$25,6,FALSE)</f>
        <v>〇</v>
      </c>
      <c r="S48" s="78"/>
      <c r="T48" s="78"/>
      <c r="U48" s="104"/>
      <c r="V48" s="105" t="str">
        <f>VLOOKUP('参照用（触らない）'!$B1,メンバー!$A$4:$H$11,3,FALSE)</f>
        <v>丹波橋あかね</v>
      </c>
      <c r="W48" s="78"/>
      <c r="X48" s="78"/>
      <c r="Y48" s="78" t="str">
        <f>VLOOKUP('参照用（触らない）'!$B1,メンバー!$A$4:$H$11,6,FALSE)</f>
        <v>×</v>
      </c>
      <c r="Z48" s="78"/>
      <c r="AA48" s="78"/>
      <c r="AB48" s="104"/>
      <c r="AC48" s="105" t="str">
        <f>VLOOKUP('参照用（触らない）'!$B5,メンバー!$A$4:$H$11,3,FALSE)</f>
        <v>いろ</v>
      </c>
      <c r="AD48" s="78"/>
      <c r="AE48" s="78"/>
      <c r="AF48" s="78" t="str">
        <f>VLOOKUP('参照用（触らない）'!$B5,メンバー!$A$4:$H$11,6,FALSE)</f>
        <v>〇</v>
      </c>
      <c r="AG48" s="78"/>
      <c r="AH48" s="78"/>
      <c r="AI48" s="78"/>
    </row>
    <row r="49" spans="1:35">
      <c r="A49" s="78" t="str">
        <f>VLOOKUP('参照用（触らない）'!$B2,メンバー!$A$16:$H$25,2,FALSE)</f>
        <v>橘</v>
      </c>
      <c r="B49" s="78"/>
      <c r="C49" s="78"/>
      <c r="D49" s="78" t="str">
        <f>VLOOKUP('参照用（触らない）'!$B2,メンバー!$A$16:$H$25,6,FALSE)</f>
        <v>〇</v>
      </c>
      <c r="E49" s="78"/>
      <c r="F49" s="78"/>
      <c r="G49" s="104"/>
      <c r="H49" s="105" t="str">
        <f>VLOOKUP('参照用（触らない）'!$B6,メンバー!$A$16:$H$25,2,FALSE)</f>
        <v>榎村 萌音</v>
      </c>
      <c r="I49" s="78"/>
      <c r="J49" s="78"/>
      <c r="K49" s="78" t="str">
        <f>VLOOKUP('参照用（触らない）'!$B6,メンバー!$A$16:$H$25,6,FALSE)</f>
        <v>〇</v>
      </c>
      <c r="L49" s="78"/>
      <c r="M49" s="78"/>
      <c r="N49" s="104"/>
      <c r="O49" s="105" t="str">
        <f>VLOOKUP('参照用（触らない）'!$B10,メンバー!$A$16:$H$25,2,FALSE)</f>
        <v>伊筑 早希</v>
      </c>
      <c r="P49" s="78"/>
      <c r="Q49" s="78"/>
      <c r="R49" s="78" t="str">
        <f>VLOOKUP('参照用（触らない）'!$B10,メンバー!$A$16:$H$25,6,FALSE)</f>
        <v>〇</v>
      </c>
      <c r="S49" s="78"/>
      <c r="T49" s="78"/>
      <c r="U49" s="104"/>
      <c r="V49" s="105" t="str">
        <f>VLOOKUP('参照用（触らない）'!$B2,メンバー!$A$4:$H$11,3,FALSE)</f>
        <v>蒼樹とも</v>
      </c>
      <c r="W49" s="78"/>
      <c r="X49" s="78"/>
      <c r="Y49" s="78" t="str">
        <f>VLOOKUP('参照用（触らない）'!$B2,メンバー!$A$4:$H$11,6,FALSE)</f>
        <v>〇</v>
      </c>
      <c r="Z49" s="78"/>
      <c r="AA49" s="78"/>
      <c r="AB49" s="104"/>
      <c r="AC49" s="105" t="str">
        <f>VLOOKUP('参照用（触らない）'!$B6,メンバー!$A$4:$H$11,3,FALSE)</f>
        <v>松尾明</v>
      </c>
      <c r="AD49" s="78"/>
      <c r="AE49" s="78"/>
      <c r="AF49" s="78" t="str">
        <f>VLOOKUP('参照用（触らない）'!$B6,メンバー!$A$4:$H$11,6,FALSE)</f>
        <v>〇</v>
      </c>
      <c r="AG49" s="78"/>
      <c r="AH49" s="78"/>
      <c r="AI49" s="78"/>
    </row>
    <row r="50" spans="1:35">
      <c r="A50" s="78" t="str">
        <f>VLOOKUP('参照用（触らない）'!$B3,メンバー!$A$16:$H$25,2,FALSE)</f>
        <v>豊 ゆうみ</v>
      </c>
      <c r="B50" s="78"/>
      <c r="C50" s="78"/>
      <c r="D50" s="78" t="str">
        <f>VLOOKUP('参照用（触らない）'!$B3,メンバー!$A$16:$H$25,6,FALSE)</f>
        <v>〇</v>
      </c>
      <c r="E50" s="78"/>
      <c r="F50" s="78"/>
      <c r="G50" s="104"/>
      <c r="H50" s="105" t="str">
        <f>VLOOKUP('参照用（触らない）'!$B7,メンバー!$A$16:$H$25,2,FALSE)</f>
        <v>大島 弥子</v>
      </c>
      <c r="I50" s="78"/>
      <c r="J50" s="78"/>
      <c r="K50" s="78" t="str">
        <f>VLOOKUP('参照用（触らない）'!$B7,メンバー!$A$16:$H$25,6,FALSE)</f>
        <v>〇</v>
      </c>
      <c r="L50" s="78"/>
      <c r="M50" s="78"/>
      <c r="N50" s="104"/>
      <c r="O50" s="105"/>
      <c r="P50" s="78"/>
      <c r="Q50" s="78"/>
      <c r="R50" s="78"/>
      <c r="S50" s="78"/>
      <c r="T50" s="78"/>
      <c r="U50" s="104"/>
      <c r="V50" s="105" t="str">
        <f>VLOOKUP('参照用（触らない）'!$B3,メンバー!$A$4:$H$11,3,FALSE)</f>
        <v>てんま1/2</v>
      </c>
      <c r="W50" s="78"/>
      <c r="X50" s="78"/>
      <c r="Y50" s="78" t="str">
        <f>VLOOKUP('参照用（触らない）'!$B3,メンバー!$A$4:$H$11,6,FALSE)</f>
        <v>〇</v>
      </c>
      <c r="Z50" s="78"/>
      <c r="AA50" s="78"/>
      <c r="AB50" s="104"/>
      <c r="AC50" s="105" t="str">
        <f>VLOOKUP('参照用（触らない）'!$B7,メンバー!$A$4:$H$11,3,FALSE)</f>
        <v>廣瀬雅</v>
      </c>
      <c r="AD50" s="78"/>
      <c r="AE50" s="78"/>
      <c r="AF50" s="78" t="str">
        <f>VLOOKUP('参照用（触らない）'!$B7,メンバー!$A$4:$H$11,6,FALSE)</f>
        <v>〇</v>
      </c>
      <c r="AG50" s="78"/>
      <c r="AH50" s="78"/>
      <c r="AI50" s="78"/>
    </row>
    <row r="51" spans="1:35">
      <c r="A51" s="78" t="str">
        <f>VLOOKUP('参照用（触らない）'!$B4,メンバー!$A$16:$H$25,2,FALSE)</f>
        <v>ベル</v>
      </c>
      <c r="B51" s="78"/>
      <c r="C51" s="78"/>
      <c r="D51" s="78" t="str">
        <f>VLOOKUP('参照用（触らない）'!$B4,メンバー!$A$16:$H$25,6,FALSE)</f>
        <v>〇</v>
      </c>
      <c r="E51" s="78"/>
      <c r="F51" s="78"/>
      <c r="G51" s="104"/>
      <c r="H51" s="105" t="str">
        <f>VLOOKUP('参照用（触らない）'!$B8,メンバー!$A$16:$H$25,2,FALSE)</f>
        <v>ゆうぞう</v>
      </c>
      <c r="I51" s="78"/>
      <c r="J51" s="78"/>
      <c r="K51" s="78" t="str">
        <f>VLOOKUP('参照用（触らない）'!$B8,メンバー!$A$16:$H$25,6,FALSE)</f>
        <v>〇</v>
      </c>
      <c r="L51" s="78"/>
      <c r="M51" s="78"/>
      <c r="N51" s="104"/>
      <c r="O51" s="105"/>
      <c r="P51" s="78"/>
      <c r="Q51" s="78"/>
      <c r="R51" s="78"/>
      <c r="S51" s="78"/>
      <c r="T51" s="78"/>
      <c r="U51" s="104"/>
      <c r="V51" s="105" t="str">
        <f>VLOOKUP('参照用（触らない）'!$B4,メンバー!$A$4:$H$11,3,FALSE)</f>
        <v>菅原 三花</v>
      </c>
      <c r="W51" s="78"/>
      <c r="X51" s="78"/>
      <c r="Y51" s="78" t="str">
        <f>VLOOKUP('参照用（触らない）'!$B4,メンバー!$A$4:$H$11,6,FALSE)</f>
        <v>〇</v>
      </c>
      <c r="Z51" s="78"/>
      <c r="AA51" s="78"/>
      <c r="AB51" s="104"/>
      <c r="AC51" s="105"/>
      <c r="AD51" s="78"/>
      <c r="AE51" s="78"/>
      <c r="AF51" s="78"/>
      <c r="AG51" s="78"/>
      <c r="AH51" s="78"/>
      <c r="AI51" s="78"/>
    </row>
  </sheetData>
  <mergeCells count="140">
    <mergeCell ref="R51:U51"/>
    <mergeCell ref="V51:X51"/>
    <mergeCell ref="Y51:AB51"/>
    <mergeCell ref="AC51:AE51"/>
    <mergeCell ref="AF51:AI51"/>
    <mergeCell ref="A51:C51"/>
    <mergeCell ref="D51:G51"/>
    <mergeCell ref="H51:J51"/>
    <mergeCell ref="K51:N51"/>
    <mergeCell ref="O51:Q51"/>
    <mergeCell ref="R50:U50"/>
    <mergeCell ref="V50:X50"/>
    <mergeCell ref="Y50:AB50"/>
    <mergeCell ref="AC50:AE50"/>
    <mergeCell ref="AF50:AI50"/>
    <mergeCell ref="A50:C50"/>
    <mergeCell ref="D50:G50"/>
    <mergeCell ref="H50:J50"/>
    <mergeCell ref="K50:N50"/>
    <mergeCell ref="O50:Q50"/>
    <mergeCell ref="R49:U49"/>
    <mergeCell ref="V49:X49"/>
    <mergeCell ref="Y49:AB49"/>
    <mergeCell ref="AC49:AE49"/>
    <mergeCell ref="AF49:AI49"/>
    <mergeCell ref="A49:C49"/>
    <mergeCell ref="D49:G49"/>
    <mergeCell ref="H49:J49"/>
    <mergeCell ref="K49:N49"/>
    <mergeCell ref="O49:Q49"/>
    <mergeCell ref="U42:AF42"/>
    <mergeCell ref="A47:U47"/>
    <mergeCell ref="V47:AI47"/>
    <mergeCell ref="A48:C48"/>
    <mergeCell ref="D48:G48"/>
    <mergeCell ref="H48:J48"/>
    <mergeCell ref="K48:N48"/>
    <mergeCell ref="O48:Q48"/>
    <mergeCell ref="R48:U48"/>
    <mergeCell ref="V48:X48"/>
    <mergeCell ref="Y48:AB48"/>
    <mergeCell ref="AC48:AE48"/>
    <mergeCell ref="AF48:AI48"/>
    <mergeCell ref="A2:B2"/>
    <mergeCell ref="C2:J2"/>
    <mergeCell ref="L2:Q2"/>
    <mergeCell ref="R2:U2"/>
    <mergeCell ref="W2:Z2"/>
    <mergeCell ref="A1:B1"/>
    <mergeCell ref="C1:J1"/>
    <mergeCell ref="L1:U1"/>
    <mergeCell ref="W1:Z1"/>
    <mergeCell ref="AA1:AL1"/>
    <mergeCell ref="AA2:AL2"/>
    <mergeCell ref="L3:Q3"/>
    <mergeCell ref="R3:U3"/>
    <mergeCell ref="W3:Z4"/>
    <mergeCell ref="AA3:AL3"/>
    <mergeCell ref="AA4:AL4"/>
    <mergeCell ref="AA9:AF9"/>
    <mergeCell ref="AG9:AL9"/>
    <mergeCell ref="A10:B10"/>
    <mergeCell ref="A11:B11"/>
    <mergeCell ref="D8:F8"/>
    <mergeCell ref="A9:B9"/>
    <mergeCell ref="C9:H9"/>
    <mergeCell ref="I9:N9"/>
    <mergeCell ref="O9:T9"/>
    <mergeCell ref="U9:Z9"/>
    <mergeCell ref="AA19:AF19"/>
    <mergeCell ref="A12:B12"/>
    <mergeCell ref="A13:B13"/>
    <mergeCell ref="AA13:AF13"/>
    <mergeCell ref="AG13:AL13"/>
    <mergeCell ref="AG10:AL12"/>
    <mergeCell ref="C13:N13"/>
    <mergeCell ref="O13:T13"/>
    <mergeCell ref="U13:Z13"/>
    <mergeCell ref="C10:T11"/>
    <mergeCell ref="C12:T12"/>
    <mergeCell ref="U10:AF12"/>
    <mergeCell ref="AG19:AL19"/>
    <mergeCell ref="I19:N19"/>
    <mergeCell ref="O19:T19"/>
    <mergeCell ref="U19:Z19"/>
    <mergeCell ref="A20:B20"/>
    <mergeCell ref="A21:B21"/>
    <mergeCell ref="A22:B22"/>
    <mergeCell ref="A19:B19"/>
    <mergeCell ref="C19:H19"/>
    <mergeCell ref="A23:B23"/>
    <mergeCell ref="C23:H23"/>
    <mergeCell ref="I23:N23"/>
    <mergeCell ref="AA23:AF23"/>
    <mergeCell ref="AG23:AL23"/>
    <mergeCell ref="A29:B29"/>
    <mergeCell ref="C29:H29"/>
    <mergeCell ref="I29:N29"/>
    <mergeCell ref="O29:T29"/>
    <mergeCell ref="U29:Z29"/>
    <mergeCell ref="A30:B30"/>
    <mergeCell ref="A31:B31"/>
    <mergeCell ref="A32:B32"/>
    <mergeCell ref="U30:Z32"/>
    <mergeCell ref="C30:T32"/>
    <mergeCell ref="AA30:AL32"/>
    <mergeCell ref="A33:B33"/>
    <mergeCell ref="O33:T33"/>
    <mergeCell ref="U33:Z33"/>
    <mergeCell ref="AA33:AF33"/>
    <mergeCell ref="AG33:AL33"/>
    <mergeCell ref="I33:N33"/>
    <mergeCell ref="A43:B43"/>
    <mergeCell ref="O43:T43"/>
    <mergeCell ref="U43:Z43"/>
    <mergeCell ref="AA43:AL43"/>
    <mergeCell ref="AG39:AL39"/>
    <mergeCell ref="A40:B40"/>
    <mergeCell ref="A41:B41"/>
    <mergeCell ref="A42:B42"/>
    <mergeCell ref="A39:B39"/>
    <mergeCell ref="C39:H39"/>
    <mergeCell ref="I39:N39"/>
    <mergeCell ref="O39:T39"/>
    <mergeCell ref="U39:Z39"/>
    <mergeCell ref="AA39:AF39"/>
    <mergeCell ref="C43:H43"/>
    <mergeCell ref="I43:N43"/>
    <mergeCell ref="C20:Z22"/>
    <mergeCell ref="AA20:AF22"/>
    <mergeCell ref="AG20:AL22"/>
    <mergeCell ref="O23:T23"/>
    <mergeCell ref="U23:Z23"/>
    <mergeCell ref="AG29:AL29"/>
    <mergeCell ref="AA29:AF29"/>
    <mergeCell ref="AG40:AL42"/>
    <mergeCell ref="C33:H33"/>
    <mergeCell ref="O40:T42"/>
    <mergeCell ref="C40:N42"/>
    <mergeCell ref="U40:AF41"/>
  </mergeCells>
  <phoneticPr fontId="2"/>
  <pageMargins left="0.7" right="0.7" top="0.75" bottom="0.75" header="0.3" footer="0.3"/>
  <pageSetup paperSize="9" scale="54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EF72E-81E9-45AC-BE45-DBA5D3705812}">
  <dimension ref="A1:AL51"/>
  <sheetViews>
    <sheetView view="pageBreakPreview" topLeftCell="A4" zoomScale="75" zoomScaleNormal="100" zoomScaleSheetLayoutView="75" zoomScalePageLayoutView="75" workbookViewId="0">
      <selection activeCell="AL48" sqref="AL48"/>
    </sheetView>
  </sheetViews>
  <sheetFormatPr defaultColWidth="3.69921875" defaultRowHeight="18"/>
  <cols>
    <col min="1" max="2" width="3.69921875" style="1"/>
    <col min="3" max="3" width="3.69921875" style="1" customWidth="1"/>
    <col min="4" max="4" width="3.69921875" style="1"/>
    <col min="5" max="5" width="3.69921875" style="1" customWidth="1"/>
    <col min="6" max="14" width="3.69921875" style="1"/>
    <col min="15" max="15" width="3.69921875" style="1" customWidth="1"/>
    <col min="16" max="16384" width="3.69921875" style="1"/>
  </cols>
  <sheetData>
    <row r="1" spans="1:38">
      <c r="A1" s="40" t="s">
        <v>40</v>
      </c>
      <c r="B1" s="40"/>
      <c r="C1" s="78" t="s">
        <v>41</v>
      </c>
      <c r="D1" s="78"/>
      <c r="E1" s="78"/>
      <c r="F1" s="78"/>
      <c r="G1" s="78"/>
      <c r="H1" s="78"/>
      <c r="I1" s="78"/>
      <c r="J1" s="78"/>
      <c r="L1" s="40" t="s">
        <v>51</v>
      </c>
      <c r="M1" s="40"/>
      <c r="N1" s="40"/>
      <c r="O1" s="40"/>
      <c r="P1" s="40"/>
      <c r="Q1" s="40"/>
      <c r="R1" s="40"/>
      <c r="S1" s="40"/>
      <c r="T1" s="40"/>
      <c r="U1" s="40"/>
      <c r="W1" s="40" t="s">
        <v>44</v>
      </c>
      <c r="X1" s="40"/>
      <c r="Y1" s="40"/>
      <c r="Z1" s="40"/>
      <c r="AA1" s="78" t="s">
        <v>47</v>
      </c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</row>
    <row r="2" spans="1:38">
      <c r="A2" s="40" t="s">
        <v>42</v>
      </c>
      <c r="B2" s="40"/>
      <c r="C2" s="78" t="s">
        <v>43</v>
      </c>
      <c r="D2" s="78"/>
      <c r="E2" s="78"/>
      <c r="F2" s="78"/>
      <c r="G2" s="78"/>
      <c r="H2" s="78"/>
      <c r="I2" s="78"/>
      <c r="J2" s="78"/>
      <c r="L2" s="78" t="s">
        <v>52</v>
      </c>
      <c r="M2" s="78"/>
      <c r="N2" s="78"/>
      <c r="O2" s="78"/>
      <c r="P2" s="78"/>
      <c r="Q2" s="78"/>
      <c r="R2" s="78" t="s">
        <v>54</v>
      </c>
      <c r="S2" s="78"/>
      <c r="T2" s="78"/>
      <c r="U2" s="78"/>
      <c r="W2" s="40" t="s">
        <v>45</v>
      </c>
      <c r="X2" s="40"/>
      <c r="Y2" s="40"/>
      <c r="Z2" s="40"/>
      <c r="AA2" s="78" t="s">
        <v>48</v>
      </c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</row>
    <row r="3" spans="1:38">
      <c r="L3" s="78" t="s">
        <v>53</v>
      </c>
      <c r="M3" s="78"/>
      <c r="N3" s="78"/>
      <c r="O3" s="78"/>
      <c r="P3" s="78"/>
      <c r="Q3" s="78"/>
      <c r="R3" s="78" t="s">
        <v>55</v>
      </c>
      <c r="S3" s="78"/>
      <c r="T3" s="78"/>
      <c r="U3" s="78"/>
      <c r="W3" s="40" t="s">
        <v>46</v>
      </c>
      <c r="X3" s="40"/>
      <c r="Y3" s="40"/>
      <c r="Z3" s="40"/>
      <c r="AA3" s="78" t="s">
        <v>49</v>
      </c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</row>
    <row r="4" spans="1:38">
      <c r="W4" s="40"/>
      <c r="X4" s="40"/>
      <c r="Y4" s="40"/>
      <c r="Z4" s="40"/>
      <c r="AA4" s="78" t="s">
        <v>50</v>
      </c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</row>
    <row r="8" spans="1:38">
      <c r="A8" s="1" t="s">
        <v>98</v>
      </c>
      <c r="D8" s="77">
        <v>0.41666666666666669</v>
      </c>
      <c r="E8" s="77"/>
      <c r="F8" s="77"/>
    </row>
    <row r="9" spans="1:38" s="2" customFormat="1" ht="18.600000000000001" thickBot="1">
      <c r="A9" s="41"/>
      <c r="B9" s="41"/>
      <c r="C9" s="39">
        <f>D8</f>
        <v>0.41666666666666669</v>
      </c>
      <c r="D9" s="39"/>
      <c r="E9" s="39"/>
      <c r="F9" s="39"/>
      <c r="G9" s="39"/>
      <c r="H9" s="42"/>
      <c r="I9" s="38">
        <f>C9+'参照用（触らない）'!$A$2</f>
        <v>0.4375</v>
      </c>
      <c r="J9" s="39"/>
      <c r="K9" s="39"/>
      <c r="L9" s="39"/>
      <c r="M9" s="39"/>
      <c r="N9" s="39"/>
      <c r="O9" s="39">
        <f>C9+'参照用（触らない）'!$A$1</f>
        <v>0.45833333333333337</v>
      </c>
      <c r="P9" s="39"/>
      <c r="Q9" s="39"/>
      <c r="R9" s="39"/>
      <c r="S9" s="39"/>
      <c r="T9" s="42"/>
      <c r="U9" s="38">
        <f>O9+'参照用（触らない）'!$A$2</f>
        <v>0.47916666666666669</v>
      </c>
      <c r="V9" s="39"/>
      <c r="W9" s="39"/>
      <c r="X9" s="39"/>
      <c r="Y9" s="39"/>
      <c r="Z9" s="39"/>
      <c r="AA9" s="39">
        <f>O9+'参照用（触らない）'!$A$1</f>
        <v>0.5</v>
      </c>
      <c r="AB9" s="39"/>
      <c r="AC9" s="39"/>
      <c r="AD9" s="39"/>
      <c r="AE9" s="39"/>
      <c r="AF9" s="96"/>
      <c r="AG9" s="38">
        <f>AA9+'参照用（触らない）'!$A$2</f>
        <v>0.52083333333333337</v>
      </c>
      <c r="AH9" s="39"/>
      <c r="AI9" s="39"/>
      <c r="AJ9" s="39"/>
      <c r="AK9" s="39"/>
      <c r="AL9" s="39"/>
    </row>
    <row r="10" spans="1:38" ht="35.4" customHeight="1" thickTop="1">
      <c r="A10" s="30" t="s">
        <v>1</v>
      </c>
      <c r="B10" s="30"/>
      <c r="C10" s="16" t="s">
        <v>90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36" t="s">
        <v>93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8"/>
      <c r="AG10" s="17" t="s">
        <v>99</v>
      </c>
      <c r="AH10" s="17"/>
      <c r="AI10" s="17"/>
      <c r="AJ10" s="17"/>
      <c r="AK10" s="17"/>
      <c r="AL10" s="37"/>
    </row>
    <row r="11" spans="1:38" ht="35.4" customHeight="1">
      <c r="A11" s="40" t="s">
        <v>78</v>
      </c>
      <c r="B11" s="40"/>
      <c r="C11" s="7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5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1"/>
      <c r="AG11" s="20"/>
      <c r="AH11" s="20"/>
      <c r="AI11" s="20"/>
      <c r="AJ11" s="20"/>
      <c r="AK11" s="20"/>
      <c r="AL11" s="86"/>
    </row>
    <row r="12" spans="1:38" ht="35.4" customHeight="1" thickBot="1">
      <c r="A12" s="35" t="s">
        <v>79</v>
      </c>
      <c r="B12" s="35"/>
      <c r="C12" s="13" t="s">
        <v>91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28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4"/>
      <c r="AG12" s="23"/>
      <c r="AH12" s="23"/>
      <c r="AI12" s="23"/>
      <c r="AJ12" s="23"/>
      <c r="AK12" s="23"/>
      <c r="AL12" s="29"/>
    </row>
    <row r="13" spans="1:38" ht="57" customHeight="1" thickTop="1">
      <c r="A13" s="30" t="s">
        <v>39</v>
      </c>
      <c r="B13" s="30"/>
      <c r="C13" s="93" t="s">
        <v>124</v>
      </c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5"/>
      <c r="O13" s="51"/>
      <c r="P13" s="51"/>
      <c r="Q13" s="51"/>
      <c r="R13" s="51"/>
      <c r="S13" s="51"/>
      <c r="T13" s="57"/>
      <c r="U13" s="50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7"/>
      <c r="AG13" s="50"/>
      <c r="AH13" s="51"/>
      <c r="AI13" s="51"/>
      <c r="AJ13" s="51"/>
      <c r="AK13" s="51"/>
      <c r="AL13" s="51"/>
    </row>
    <row r="19" spans="1:38" ht="18.600000000000001" thickBot="1">
      <c r="A19" s="41"/>
      <c r="B19" s="41"/>
      <c r="C19" s="39">
        <f>AA9+'参照用（触らない）'!$A$1</f>
        <v>0.54166666666666663</v>
      </c>
      <c r="D19" s="39"/>
      <c r="E19" s="39"/>
      <c r="F19" s="39"/>
      <c r="G19" s="39"/>
      <c r="H19" s="42"/>
      <c r="I19" s="38">
        <f>C19+'参照用（触らない）'!$A$2</f>
        <v>0.5625</v>
      </c>
      <c r="J19" s="39"/>
      <c r="K19" s="39"/>
      <c r="L19" s="39"/>
      <c r="M19" s="39"/>
      <c r="N19" s="39"/>
      <c r="O19" s="39">
        <f>C19+'参照用（触らない）'!$A$1</f>
        <v>0.58333333333333326</v>
      </c>
      <c r="P19" s="39"/>
      <c r="Q19" s="39"/>
      <c r="R19" s="39"/>
      <c r="S19" s="39"/>
      <c r="T19" s="42"/>
      <c r="U19" s="38">
        <f>O19+'参照用（触らない）'!$A$2</f>
        <v>0.60416666666666663</v>
      </c>
      <c r="V19" s="39"/>
      <c r="W19" s="39"/>
      <c r="X19" s="39"/>
      <c r="Y19" s="39"/>
      <c r="Z19" s="39"/>
      <c r="AA19" s="39">
        <f>O19+'参照用（触らない）'!$A$1</f>
        <v>0.62499999999999989</v>
      </c>
      <c r="AB19" s="39"/>
      <c r="AC19" s="39"/>
      <c r="AD19" s="39"/>
      <c r="AE19" s="39"/>
      <c r="AF19" s="42"/>
      <c r="AG19" s="38">
        <f>AA19+'参照用（触らない）'!$A$2</f>
        <v>0.64583333333333326</v>
      </c>
      <c r="AH19" s="39"/>
      <c r="AI19" s="39"/>
      <c r="AJ19" s="39"/>
      <c r="AK19" s="39"/>
      <c r="AL19" s="39"/>
    </row>
    <row r="20" spans="1:38" ht="35.4" customHeight="1" thickTop="1">
      <c r="A20" s="30" t="s">
        <v>1</v>
      </c>
      <c r="B20" s="30"/>
      <c r="C20" s="16" t="s">
        <v>103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37"/>
      <c r="AA20" s="16" t="s">
        <v>86</v>
      </c>
      <c r="AB20" s="17"/>
      <c r="AC20" s="17"/>
      <c r="AD20" s="17"/>
      <c r="AE20" s="17"/>
      <c r="AF20" s="17"/>
      <c r="AG20" s="36" t="s">
        <v>105</v>
      </c>
      <c r="AH20" s="17"/>
      <c r="AI20" s="17"/>
      <c r="AJ20" s="17"/>
      <c r="AK20" s="17"/>
      <c r="AL20" s="37"/>
    </row>
    <row r="21" spans="1:38" ht="35.4" customHeight="1">
      <c r="A21" s="40" t="s">
        <v>78</v>
      </c>
      <c r="B21" s="40"/>
      <c r="C21" s="19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86"/>
      <c r="AA21" s="19"/>
      <c r="AB21" s="20"/>
      <c r="AC21" s="20"/>
      <c r="AD21" s="20"/>
      <c r="AE21" s="20"/>
      <c r="AF21" s="20"/>
      <c r="AG21" s="83"/>
      <c r="AH21" s="82"/>
      <c r="AI21" s="82"/>
      <c r="AJ21" s="82"/>
      <c r="AK21" s="82"/>
      <c r="AL21" s="84"/>
    </row>
    <row r="22" spans="1:38" ht="35.4" customHeight="1" thickBot="1">
      <c r="A22" s="35" t="s">
        <v>79</v>
      </c>
      <c r="B22" s="35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9"/>
      <c r="AA22" s="22"/>
      <c r="AB22" s="23"/>
      <c r="AC22" s="23"/>
      <c r="AD22" s="23"/>
      <c r="AE22" s="23"/>
      <c r="AF22" s="23"/>
      <c r="AG22" s="97" t="s">
        <v>69</v>
      </c>
      <c r="AH22" s="14"/>
      <c r="AI22" s="14"/>
      <c r="AJ22" s="14"/>
      <c r="AK22" s="14"/>
      <c r="AL22" s="15"/>
    </row>
    <row r="23" spans="1:38" ht="57" customHeight="1" thickTop="1">
      <c r="A23" s="30" t="s">
        <v>39</v>
      </c>
      <c r="B23" s="30"/>
      <c r="C23" s="93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5"/>
      <c r="O23" s="51"/>
      <c r="P23" s="51"/>
      <c r="Q23" s="51"/>
      <c r="R23" s="51"/>
      <c r="S23" s="51"/>
      <c r="T23" s="57"/>
      <c r="U23" s="50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7"/>
      <c r="AG23" s="50"/>
      <c r="AH23" s="51"/>
      <c r="AI23" s="51"/>
      <c r="AJ23" s="51"/>
      <c r="AK23" s="51"/>
      <c r="AL23" s="51"/>
    </row>
    <row r="29" spans="1:38" ht="18.600000000000001" thickBot="1">
      <c r="A29" s="41"/>
      <c r="B29" s="41"/>
      <c r="C29" s="39">
        <f>AA19+'参照用（触らない）'!$A$1</f>
        <v>0.66666666666666652</v>
      </c>
      <c r="D29" s="39"/>
      <c r="E29" s="39"/>
      <c r="F29" s="39"/>
      <c r="G29" s="39"/>
      <c r="H29" s="42"/>
      <c r="I29" s="38">
        <f>C29+'参照用（触らない）'!$A$2</f>
        <v>0.68749999999999989</v>
      </c>
      <c r="J29" s="39"/>
      <c r="K29" s="39"/>
      <c r="L29" s="39"/>
      <c r="M29" s="39"/>
      <c r="N29" s="39"/>
      <c r="O29" s="39">
        <f>C29+'参照用（触らない）'!$A$1</f>
        <v>0.70833333333333315</v>
      </c>
      <c r="P29" s="39"/>
      <c r="Q29" s="39"/>
      <c r="R29" s="39"/>
      <c r="S29" s="39"/>
      <c r="T29" s="42"/>
      <c r="U29" s="38">
        <f>O29+'参照用（触らない）'!$A$2</f>
        <v>0.72916666666666652</v>
      </c>
      <c r="V29" s="39"/>
      <c r="W29" s="39"/>
      <c r="X29" s="39"/>
      <c r="Y29" s="39"/>
      <c r="Z29" s="39"/>
      <c r="AA29" s="39">
        <f>O29+'参照用（触らない）'!$A$1</f>
        <v>0.74999999999999978</v>
      </c>
      <c r="AB29" s="39"/>
      <c r="AC29" s="39"/>
      <c r="AD29" s="39"/>
      <c r="AE29" s="39"/>
      <c r="AF29" s="42"/>
      <c r="AG29" s="38">
        <f>AA29+'参照用（触らない）'!$A$2</f>
        <v>0.77083333333333315</v>
      </c>
      <c r="AH29" s="39"/>
      <c r="AI29" s="39"/>
      <c r="AJ29" s="39"/>
      <c r="AK29" s="39"/>
      <c r="AL29" s="39"/>
    </row>
    <row r="30" spans="1:38" ht="35.4" customHeight="1" thickTop="1">
      <c r="A30" s="30" t="s">
        <v>1</v>
      </c>
      <c r="B30" s="30"/>
      <c r="C30" s="16" t="s">
        <v>134</v>
      </c>
      <c r="D30" s="17"/>
      <c r="E30" s="17"/>
      <c r="F30" s="17"/>
      <c r="G30" s="17"/>
      <c r="H30" s="17"/>
      <c r="I30" s="36" t="s">
        <v>106</v>
      </c>
      <c r="J30" s="17"/>
      <c r="K30" s="17"/>
      <c r="L30" s="17"/>
      <c r="M30" s="17"/>
      <c r="N30" s="37"/>
      <c r="O30" s="17" t="s">
        <v>107</v>
      </c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37"/>
    </row>
    <row r="31" spans="1:38" ht="35.4" customHeight="1">
      <c r="A31" s="40" t="s">
        <v>78</v>
      </c>
      <c r="B31" s="40"/>
      <c r="C31" s="19"/>
      <c r="D31" s="102"/>
      <c r="E31" s="102"/>
      <c r="F31" s="102"/>
      <c r="G31" s="102"/>
      <c r="H31" s="102"/>
      <c r="I31" s="85"/>
      <c r="J31" s="102"/>
      <c r="K31" s="102"/>
      <c r="L31" s="102"/>
      <c r="M31" s="102"/>
      <c r="N31" s="86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86"/>
    </row>
    <row r="32" spans="1:38" ht="35.4" customHeight="1" thickBot="1">
      <c r="A32" s="35" t="s">
        <v>79</v>
      </c>
      <c r="B32" s="35"/>
      <c r="C32" s="22"/>
      <c r="D32" s="23"/>
      <c r="E32" s="23"/>
      <c r="F32" s="23"/>
      <c r="G32" s="23"/>
      <c r="H32" s="23"/>
      <c r="I32" s="28"/>
      <c r="J32" s="23"/>
      <c r="K32" s="23"/>
      <c r="L32" s="23"/>
      <c r="M32" s="23"/>
      <c r="N32" s="29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9"/>
    </row>
    <row r="33" spans="1:38" ht="57" customHeight="1" thickTop="1">
      <c r="A33" s="30" t="s">
        <v>39</v>
      </c>
      <c r="B33" s="30"/>
      <c r="C33" s="93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5"/>
      <c r="O33" s="51"/>
      <c r="P33" s="51"/>
      <c r="Q33" s="51"/>
      <c r="R33" s="51"/>
      <c r="S33" s="51"/>
      <c r="T33" s="57"/>
      <c r="U33" s="50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7"/>
      <c r="AG33" s="50"/>
      <c r="AH33" s="51"/>
      <c r="AI33" s="51"/>
      <c r="AJ33" s="51"/>
      <c r="AK33" s="51"/>
      <c r="AL33" s="51"/>
    </row>
    <row r="39" spans="1:38" ht="18.600000000000001" thickBot="1">
      <c r="A39" s="41"/>
      <c r="B39" s="41"/>
      <c r="C39" s="39">
        <f>AA29+'参照用（触らない）'!$A$1</f>
        <v>0.79166666666666641</v>
      </c>
      <c r="D39" s="39"/>
      <c r="E39" s="39"/>
      <c r="F39" s="39"/>
      <c r="G39" s="39"/>
      <c r="H39" s="42"/>
      <c r="I39" s="38">
        <f>C39+'参照用（触らない）'!$A$2</f>
        <v>0.81249999999999978</v>
      </c>
      <c r="J39" s="39"/>
      <c r="K39" s="39"/>
      <c r="L39" s="39"/>
      <c r="M39" s="39"/>
      <c r="N39" s="39"/>
      <c r="O39" s="39">
        <f>C39+'参照用（触らない）'!$A$1</f>
        <v>0.83333333333333304</v>
      </c>
      <c r="P39" s="39"/>
      <c r="Q39" s="39"/>
      <c r="R39" s="39"/>
      <c r="S39" s="39"/>
      <c r="T39" s="42"/>
      <c r="U39" s="38">
        <f>O39+'参照用（触らない）'!$A$2</f>
        <v>0.85416666666666641</v>
      </c>
      <c r="V39" s="39"/>
      <c r="W39" s="39"/>
      <c r="X39" s="39"/>
      <c r="Y39" s="39"/>
      <c r="Z39" s="39"/>
      <c r="AA39" s="39">
        <f>O39+'参照用（触らない）'!$A$1</f>
        <v>0.87499999999999967</v>
      </c>
      <c r="AB39" s="39"/>
      <c r="AC39" s="39"/>
      <c r="AD39" s="39"/>
      <c r="AE39" s="39"/>
      <c r="AF39" s="42"/>
      <c r="AG39" s="38">
        <f>AA39+'参照用（触らない）'!$A$2</f>
        <v>0.89583333333333304</v>
      </c>
      <c r="AH39" s="39"/>
      <c r="AI39" s="39"/>
      <c r="AJ39" s="39"/>
      <c r="AK39" s="39"/>
      <c r="AL39" s="39"/>
    </row>
    <row r="40" spans="1:38" ht="35.4" customHeight="1" thickTop="1">
      <c r="A40" s="30" t="s">
        <v>1</v>
      </c>
      <c r="B40" s="30"/>
      <c r="C40" s="16" t="s">
        <v>108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37"/>
    </row>
    <row r="41" spans="1:38" ht="35.4" customHeight="1">
      <c r="A41" s="40" t="s">
        <v>78</v>
      </c>
      <c r="B41" s="40"/>
      <c r="C41" s="19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86"/>
    </row>
    <row r="42" spans="1:38" ht="35.4" customHeight="1" thickBot="1">
      <c r="A42" s="35" t="s">
        <v>79</v>
      </c>
      <c r="B42" s="35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9"/>
    </row>
    <row r="43" spans="1:38" ht="57" customHeight="1" thickTop="1">
      <c r="A43" s="30" t="s">
        <v>39</v>
      </c>
      <c r="B43" s="30"/>
      <c r="C43" s="51"/>
      <c r="D43" s="51"/>
      <c r="E43" s="51"/>
      <c r="F43" s="51"/>
      <c r="G43" s="51"/>
      <c r="H43" s="57"/>
      <c r="I43" s="50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7"/>
      <c r="U43" s="50"/>
      <c r="V43" s="51"/>
      <c r="W43" s="51"/>
      <c r="X43" s="51"/>
      <c r="Y43" s="51"/>
      <c r="Z43" s="51"/>
      <c r="AA43" s="88" t="s">
        <v>125</v>
      </c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90"/>
    </row>
    <row r="47" spans="1:38">
      <c r="A47" s="103" t="s">
        <v>1</v>
      </c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6"/>
      <c r="V47" s="107" t="s">
        <v>79</v>
      </c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</row>
    <row r="48" spans="1:38">
      <c r="A48" s="78" t="str">
        <f>VLOOKUP('参照用（触らない）'!$B1,メンバー!$A$16:$H$25,2,FALSE)</f>
        <v>河元ケンヂ</v>
      </c>
      <c r="B48" s="78"/>
      <c r="C48" s="78"/>
      <c r="D48" s="78" t="str">
        <f>VLOOKUP('参照用（触らない）'!$B1,メンバー!$A$16:$H$25,7,FALSE)</f>
        <v>〇</v>
      </c>
      <c r="E48" s="78"/>
      <c r="F48" s="78"/>
      <c r="G48" s="104"/>
      <c r="H48" s="105" t="str">
        <f>VLOOKUP('参照用（触らない）'!$B5,メンバー!$A$16:$H$25,2,FALSE)</f>
        <v>真嶋 秀典</v>
      </c>
      <c r="I48" s="78"/>
      <c r="J48" s="78"/>
      <c r="K48" s="78" t="str">
        <f>VLOOKUP('参照用（触らない）'!$B5,メンバー!$A$16:$H$25,7,FALSE)</f>
        <v>〇</v>
      </c>
      <c r="L48" s="78"/>
      <c r="M48" s="78"/>
      <c r="N48" s="104"/>
      <c r="O48" s="105" t="str">
        <f>VLOOKUP('参照用（触らない）'!$B9,メンバー!$A$16:$H$25,2,FALSE)</f>
        <v>安河内 咲月</v>
      </c>
      <c r="P48" s="78"/>
      <c r="Q48" s="78"/>
      <c r="R48" s="78" t="str">
        <f>VLOOKUP('参照用（触らない）'!$B9,メンバー!$A$16:$H$25,7,FALSE)</f>
        <v>〇</v>
      </c>
      <c r="S48" s="78"/>
      <c r="T48" s="78"/>
      <c r="U48" s="104"/>
      <c r="V48" s="105" t="str">
        <f>VLOOKUP('参照用（触らない）'!$B1,メンバー!$A$4:$H$11,3,FALSE)</f>
        <v>丹波橋あかね</v>
      </c>
      <c r="W48" s="78"/>
      <c r="X48" s="78"/>
      <c r="Y48" s="78" t="str">
        <f>VLOOKUP('参照用（触らない）'!$B1,メンバー!$A$4:$H$11,7,FALSE)</f>
        <v>〇</v>
      </c>
      <c r="Z48" s="78"/>
      <c r="AA48" s="78"/>
      <c r="AB48" s="104"/>
      <c r="AC48" s="105" t="str">
        <f>VLOOKUP('参照用（触らない）'!$B5,メンバー!$A$4:$H$11,3,FALSE)</f>
        <v>いろ</v>
      </c>
      <c r="AD48" s="78"/>
      <c r="AE48" s="78"/>
      <c r="AF48" s="78" t="str">
        <f>VLOOKUP('参照用（触らない）'!$B5,メンバー!$A$4:$H$11,7,FALSE)</f>
        <v>〇</v>
      </c>
      <c r="AG48" s="78"/>
      <c r="AH48" s="78"/>
      <c r="AI48" s="78"/>
    </row>
    <row r="49" spans="1:35">
      <c r="A49" s="78" t="str">
        <f>VLOOKUP('参照用（触らない）'!$B2,メンバー!$A$16:$H$25,2,FALSE)</f>
        <v>橘</v>
      </c>
      <c r="B49" s="78"/>
      <c r="C49" s="78"/>
      <c r="D49" s="78" t="str">
        <f>VLOOKUP('参照用（触らない）'!$B2,メンバー!$A$16:$H$25,7,FALSE)</f>
        <v>〇</v>
      </c>
      <c r="E49" s="78"/>
      <c r="F49" s="78"/>
      <c r="G49" s="104"/>
      <c r="H49" s="105" t="str">
        <f>VLOOKUP('参照用（触らない）'!$B6,メンバー!$A$16:$H$25,2,FALSE)</f>
        <v>榎村 萌音</v>
      </c>
      <c r="I49" s="78"/>
      <c r="J49" s="78"/>
      <c r="K49" s="78" t="str">
        <f>VLOOKUP('参照用（触らない）'!$B6,メンバー!$A$16:$H$25,7,FALSE)</f>
        <v>〇</v>
      </c>
      <c r="L49" s="78"/>
      <c r="M49" s="78"/>
      <c r="N49" s="104"/>
      <c r="O49" s="105" t="str">
        <f>VLOOKUP('参照用（触らない）'!$B10,メンバー!$A$16:$H$25,2,FALSE)</f>
        <v>伊筑 早希</v>
      </c>
      <c r="P49" s="78"/>
      <c r="Q49" s="78"/>
      <c r="R49" s="78" t="str">
        <f>VLOOKUP('参照用（触らない）'!$B10,メンバー!$A$16:$H$25,7,FALSE)</f>
        <v>〇</v>
      </c>
      <c r="S49" s="78"/>
      <c r="T49" s="78"/>
      <c r="U49" s="104"/>
      <c r="V49" s="105" t="str">
        <f>VLOOKUP('参照用（触らない）'!$B2,メンバー!$A$4:$H$11,3,FALSE)</f>
        <v>蒼樹とも</v>
      </c>
      <c r="W49" s="78"/>
      <c r="X49" s="78"/>
      <c r="Y49" s="78" t="str">
        <f>VLOOKUP('参照用（触らない）'!$B2,メンバー!$A$4:$H$11,7,FALSE)</f>
        <v>〇</v>
      </c>
      <c r="Z49" s="78"/>
      <c r="AA49" s="78"/>
      <c r="AB49" s="104"/>
      <c r="AC49" s="105" t="str">
        <f>VLOOKUP('参照用（触らない）'!$B6,メンバー!$A$4:$H$11,3,FALSE)</f>
        <v>松尾明</v>
      </c>
      <c r="AD49" s="78"/>
      <c r="AE49" s="78"/>
      <c r="AF49" s="78" t="str">
        <f>VLOOKUP('参照用（触らない）'!$B6,メンバー!$A$4:$H$11,7,FALSE)</f>
        <v>〇</v>
      </c>
      <c r="AG49" s="78"/>
      <c r="AH49" s="78"/>
      <c r="AI49" s="78"/>
    </row>
    <row r="50" spans="1:35">
      <c r="A50" s="78" t="str">
        <f>VLOOKUP('参照用（触らない）'!$B3,メンバー!$A$16:$H$25,2,FALSE)</f>
        <v>豊 ゆうみ</v>
      </c>
      <c r="B50" s="78"/>
      <c r="C50" s="78"/>
      <c r="D50" s="78" t="str">
        <f>VLOOKUP('参照用（触らない）'!$B3,メンバー!$A$16:$H$25,7,FALSE)</f>
        <v>〇</v>
      </c>
      <c r="E50" s="78"/>
      <c r="F50" s="78"/>
      <c r="G50" s="104"/>
      <c r="H50" s="105" t="str">
        <f>VLOOKUP('参照用（触らない）'!$B7,メンバー!$A$16:$H$25,2,FALSE)</f>
        <v>大島 弥子</v>
      </c>
      <c r="I50" s="78"/>
      <c r="J50" s="78"/>
      <c r="K50" s="78" t="str">
        <f>VLOOKUP('参照用（触らない）'!$B7,メンバー!$A$16:$H$25,7,FALSE)</f>
        <v>〇</v>
      </c>
      <c r="L50" s="78"/>
      <c r="M50" s="78"/>
      <c r="N50" s="104"/>
      <c r="O50" s="105"/>
      <c r="P50" s="78"/>
      <c r="Q50" s="78"/>
      <c r="R50" s="78"/>
      <c r="S50" s="78"/>
      <c r="T50" s="78"/>
      <c r="U50" s="104"/>
      <c r="V50" s="105" t="str">
        <f>VLOOKUP('参照用（触らない）'!$B3,メンバー!$A$4:$H$11,3,FALSE)</f>
        <v>てんま1/2</v>
      </c>
      <c r="W50" s="78"/>
      <c r="X50" s="78"/>
      <c r="Y50" s="78" t="str">
        <f>VLOOKUP('参照用（触らない）'!$B3,メンバー!$A$4:$H$11,7,FALSE)</f>
        <v>〇</v>
      </c>
      <c r="Z50" s="78"/>
      <c r="AA50" s="78"/>
      <c r="AB50" s="104"/>
      <c r="AC50" s="105" t="str">
        <f>VLOOKUP('参照用（触らない）'!$B7,メンバー!$A$4:$H$11,3,FALSE)</f>
        <v>廣瀬雅</v>
      </c>
      <c r="AD50" s="78"/>
      <c r="AE50" s="78"/>
      <c r="AF50" s="78" t="str">
        <f>VLOOKUP('参照用（触らない）'!$B7,メンバー!$A$4:$H$11,7,FALSE)</f>
        <v>〇</v>
      </c>
      <c r="AG50" s="78"/>
      <c r="AH50" s="78"/>
      <c r="AI50" s="78"/>
    </row>
    <row r="51" spans="1:35">
      <c r="A51" s="78" t="str">
        <f>VLOOKUP('参照用（触らない）'!$B4,メンバー!$A$16:$H$25,2,FALSE)</f>
        <v>ベル</v>
      </c>
      <c r="B51" s="78"/>
      <c r="C51" s="78"/>
      <c r="D51" s="78" t="str">
        <f>VLOOKUP('参照用（触らない）'!$B4,メンバー!$A$16:$H$25,7,FALSE)</f>
        <v>〇</v>
      </c>
      <c r="E51" s="78"/>
      <c r="F51" s="78"/>
      <c r="G51" s="104"/>
      <c r="H51" s="105" t="str">
        <f>VLOOKUP('参照用（触らない）'!$B8,メンバー!$A$16:$H$25,2,FALSE)</f>
        <v>ゆうぞう</v>
      </c>
      <c r="I51" s="78"/>
      <c r="J51" s="78"/>
      <c r="K51" s="78" t="str">
        <f>VLOOKUP('参照用（触らない）'!$B8,メンバー!$A$16:$H$25,7,FALSE)</f>
        <v>〇</v>
      </c>
      <c r="L51" s="78"/>
      <c r="M51" s="78"/>
      <c r="N51" s="104"/>
      <c r="O51" s="105"/>
      <c r="P51" s="78"/>
      <c r="Q51" s="78"/>
      <c r="R51" s="78"/>
      <c r="S51" s="78"/>
      <c r="T51" s="78"/>
      <c r="U51" s="104"/>
      <c r="V51" s="105" t="str">
        <f>VLOOKUP('参照用（触らない）'!$B4,メンバー!$A$4:$H$11,3,FALSE)</f>
        <v>菅原 三花</v>
      </c>
      <c r="W51" s="78"/>
      <c r="X51" s="78"/>
      <c r="Y51" s="78" t="str">
        <f>VLOOKUP('参照用（触らない）'!$B4,メンバー!$A$4:$H$11,7,FALSE)</f>
        <v>〇</v>
      </c>
      <c r="Z51" s="78"/>
      <c r="AA51" s="78"/>
      <c r="AB51" s="104"/>
      <c r="AC51" s="105"/>
      <c r="AD51" s="78"/>
      <c r="AE51" s="78"/>
      <c r="AF51" s="78"/>
      <c r="AG51" s="78"/>
      <c r="AH51" s="78"/>
      <c r="AI51" s="78"/>
    </row>
  </sheetData>
  <mergeCells count="135">
    <mergeCell ref="R51:U51"/>
    <mergeCell ref="V51:X51"/>
    <mergeCell ref="Y51:AB51"/>
    <mergeCell ref="AC51:AE51"/>
    <mergeCell ref="AF51:AI51"/>
    <mergeCell ref="A51:C51"/>
    <mergeCell ref="D51:G51"/>
    <mergeCell ref="H51:J51"/>
    <mergeCell ref="K51:N51"/>
    <mergeCell ref="O51:Q51"/>
    <mergeCell ref="R50:U50"/>
    <mergeCell ref="V50:X50"/>
    <mergeCell ref="Y50:AB50"/>
    <mergeCell ref="AC50:AE50"/>
    <mergeCell ref="AF50:AI50"/>
    <mergeCell ref="A50:C50"/>
    <mergeCell ref="D50:G50"/>
    <mergeCell ref="H50:J50"/>
    <mergeCell ref="K50:N50"/>
    <mergeCell ref="O50:Q50"/>
    <mergeCell ref="R49:U49"/>
    <mergeCell ref="V49:X49"/>
    <mergeCell ref="Y49:AB49"/>
    <mergeCell ref="AC49:AE49"/>
    <mergeCell ref="AF49:AI49"/>
    <mergeCell ref="A49:C49"/>
    <mergeCell ref="D49:G49"/>
    <mergeCell ref="H49:J49"/>
    <mergeCell ref="K49:N49"/>
    <mergeCell ref="O49:Q49"/>
    <mergeCell ref="A47:U47"/>
    <mergeCell ref="V47:AI47"/>
    <mergeCell ref="A48:C48"/>
    <mergeCell ref="D48:G48"/>
    <mergeCell ref="H48:J48"/>
    <mergeCell ref="K48:N48"/>
    <mergeCell ref="O48:Q48"/>
    <mergeCell ref="R48:U48"/>
    <mergeCell ref="V48:X48"/>
    <mergeCell ref="Y48:AB48"/>
    <mergeCell ref="AC48:AE48"/>
    <mergeCell ref="AF48:AI48"/>
    <mergeCell ref="A2:B2"/>
    <mergeCell ref="C2:J2"/>
    <mergeCell ref="L2:Q2"/>
    <mergeCell ref="R2:U2"/>
    <mergeCell ref="W2:Z2"/>
    <mergeCell ref="A1:B1"/>
    <mergeCell ref="C1:J1"/>
    <mergeCell ref="L1:U1"/>
    <mergeCell ref="W1:Z1"/>
    <mergeCell ref="AA1:AL1"/>
    <mergeCell ref="AA2:AL2"/>
    <mergeCell ref="L3:Q3"/>
    <mergeCell ref="R3:U3"/>
    <mergeCell ref="W3:Z4"/>
    <mergeCell ref="AA3:AL3"/>
    <mergeCell ref="AA4:AL4"/>
    <mergeCell ref="D8:F8"/>
    <mergeCell ref="A9:B9"/>
    <mergeCell ref="C9:H9"/>
    <mergeCell ref="I9:N9"/>
    <mergeCell ref="O9:T9"/>
    <mergeCell ref="AG13:AL13"/>
    <mergeCell ref="AA9:AF9"/>
    <mergeCell ref="AG9:AL9"/>
    <mergeCell ref="A10:B10"/>
    <mergeCell ref="C10:T11"/>
    <mergeCell ref="U10:AF12"/>
    <mergeCell ref="AG10:AL12"/>
    <mergeCell ref="A11:B11"/>
    <mergeCell ref="A12:B12"/>
    <mergeCell ref="C12:T12"/>
    <mergeCell ref="U9:Z9"/>
    <mergeCell ref="A13:B13"/>
    <mergeCell ref="C13:N13"/>
    <mergeCell ref="O13:T13"/>
    <mergeCell ref="U13:Z13"/>
    <mergeCell ref="AA13:AF13"/>
    <mergeCell ref="AG19:AL19"/>
    <mergeCell ref="A20:B20"/>
    <mergeCell ref="C20:Z22"/>
    <mergeCell ref="AA20:AF22"/>
    <mergeCell ref="A21:B21"/>
    <mergeCell ref="A22:B22"/>
    <mergeCell ref="A19:B19"/>
    <mergeCell ref="C19:H19"/>
    <mergeCell ref="I19:N19"/>
    <mergeCell ref="O19:T19"/>
    <mergeCell ref="U19:Z19"/>
    <mergeCell ref="AA19:AF19"/>
    <mergeCell ref="U23:Z23"/>
    <mergeCell ref="AA23:AF23"/>
    <mergeCell ref="AG29:AL29"/>
    <mergeCell ref="A30:B30"/>
    <mergeCell ref="A31:B31"/>
    <mergeCell ref="U29:Z29"/>
    <mergeCell ref="AA29:AF29"/>
    <mergeCell ref="AG23:AL23"/>
    <mergeCell ref="A23:B23"/>
    <mergeCell ref="C23:N23"/>
    <mergeCell ref="O23:T23"/>
    <mergeCell ref="C30:H32"/>
    <mergeCell ref="I30:N32"/>
    <mergeCell ref="O30:AL32"/>
    <mergeCell ref="A32:B32"/>
    <mergeCell ref="A29:B29"/>
    <mergeCell ref="C29:H29"/>
    <mergeCell ref="I29:N29"/>
    <mergeCell ref="O29:T29"/>
    <mergeCell ref="A33:B33"/>
    <mergeCell ref="C33:N33"/>
    <mergeCell ref="O33:T33"/>
    <mergeCell ref="U33:Z33"/>
    <mergeCell ref="AA33:AF33"/>
    <mergeCell ref="AG22:AL22"/>
    <mergeCell ref="AG20:AL21"/>
    <mergeCell ref="A43:B43"/>
    <mergeCell ref="C43:H43"/>
    <mergeCell ref="I43:N43"/>
    <mergeCell ref="O43:T43"/>
    <mergeCell ref="U43:Z43"/>
    <mergeCell ref="AA43:AL43"/>
    <mergeCell ref="AG39:AL39"/>
    <mergeCell ref="A40:B40"/>
    <mergeCell ref="A41:B41"/>
    <mergeCell ref="A42:B42"/>
    <mergeCell ref="A39:B39"/>
    <mergeCell ref="C39:H39"/>
    <mergeCell ref="I39:N39"/>
    <mergeCell ref="O39:T39"/>
    <mergeCell ref="U39:Z39"/>
    <mergeCell ref="AA39:AF39"/>
    <mergeCell ref="AG33:AL33"/>
    <mergeCell ref="C40:AL42"/>
  </mergeCells>
  <phoneticPr fontId="2"/>
  <pageMargins left="0.7" right="0.7" top="0.75" bottom="0.75" header="0.3" footer="0.3"/>
  <pageSetup paperSize="9" scale="54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25"/>
  <sheetViews>
    <sheetView tabSelected="1" view="pageBreakPreview" zoomScale="60" zoomScaleNormal="75" workbookViewId="0">
      <selection activeCell="A12" sqref="A12:A14"/>
    </sheetView>
  </sheetViews>
  <sheetFormatPr defaultColWidth="3.59765625" defaultRowHeight="18"/>
  <cols>
    <col min="1" max="1" width="3.59765625" style="1"/>
    <col min="2" max="2" width="10.3984375" style="1" bestFit="1" customWidth="1"/>
    <col min="3" max="3" width="12.3984375" style="1" bestFit="1" customWidth="1"/>
    <col min="4" max="7" width="9" style="1" bestFit="1" customWidth="1"/>
    <col min="8" max="8" width="5.8984375" style="1" bestFit="1" customWidth="1"/>
    <col min="9" max="16384" width="3.59765625" style="1"/>
  </cols>
  <sheetData>
    <row r="2" spans="1:8">
      <c r="B2" s="98" t="s">
        <v>0</v>
      </c>
      <c r="C2" s="98"/>
      <c r="D2" s="5">
        <v>46002</v>
      </c>
      <c r="E2" s="5">
        <v>46003</v>
      </c>
      <c r="F2" s="5">
        <v>46004</v>
      </c>
      <c r="G2" s="5">
        <v>46005</v>
      </c>
    </row>
    <row r="3" spans="1:8">
      <c r="B3" s="3" t="s">
        <v>12</v>
      </c>
      <c r="C3" s="3" t="s">
        <v>2</v>
      </c>
      <c r="D3" s="3" t="s">
        <v>29</v>
      </c>
      <c r="E3" s="3" t="s">
        <v>29</v>
      </c>
      <c r="F3" s="3" t="s">
        <v>29</v>
      </c>
      <c r="G3" s="3" t="s">
        <v>29</v>
      </c>
    </row>
    <row r="4" spans="1:8">
      <c r="A4" s="1">
        <v>1</v>
      </c>
      <c r="B4" s="3" t="s">
        <v>16</v>
      </c>
      <c r="C4" s="3" t="s">
        <v>22</v>
      </c>
      <c r="D4" s="8" t="s">
        <v>31</v>
      </c>
      <c r="E4" s="6" t="s">
        <v>31</v>
      </c>
      <c r="F4" s="3" t="s">
        <v>30</v>
      </c>
      <c r="G4" s="3" t="s">
        <v>29</v>
      </c>
      <c r="H4" s="1" t="s">
        <v>37</v>
      </c>
    </row>
    <row r="5" spans="1:8">
      <c r="A5" s="1">
        <v>2</v>
      </c>
      <c r="B5" s="3" t="s">
        <v>13</v>
      </c>
      <c r="C5" s="3" t="s">
        <v>23</v>
      </c>
      <c r="D5" s="3" t="s">
        <v>29</v>
      </c>
      <c r="E5" s="3" t="s">
        <v>29</v>
      </c>
      <c r="F5" s="3" t="s">
        <v>29</v>
      </c>
      <c r="G5" s="3" t="s">
        <v>29</v>
      </c>
    </row>
    <row r="6" spans="1:8">
      <c r="A6" s="1">
        <v>3</v>
      </c>
      <c r="B6" s="3" t="s">
        <v>14</v>
      </c>
      <c r="C6" s="3" t="s">
        <v>24</v>
      </c>
      <c r="D6" s="3" t="s">
        <v>29</v>
      </c>
      <c r="E6" s="3" t="s">
        <v>29</v>
      </c>
      <c r="F6" s="3" t="s">
        <v>29</v>
      </c>
      <c r="G6" s="3" t="s">
        <v>29</v>
      </c>
    </row>
    <row r="7" spans="1:8">
      <c r="B7" s="3" t="s">
        <v>14</v>
      </c>
      <c r="C7" s="3" t="s">
        <v>23</v>
      </c>
      <c r="D7" s="3" t="s">
        <v>29</v>
      </c>
      <c r="E7" s="3" t="s">
        <v>29</v>
      </c>
      <c r="F7" s="3" t="s">
        <v>29</v>
      </c>
      <c r="G7" s="3" t="s">
        <v>29</v>
      </c>
    </row>
    <row r="8" spans="1:8">
      <c r="A8" s="1">
        <v>4</v>
      </c>
      <c r="B8" s="3" t="s">
        <v>15</v>
      </c>
      <c r="C8" s="3" t="s">
        <v>25</v>
      </c>
      <c r="D8" s="3" t="s">
        <v>35</v>
      </c>
      <c r="E8" s="3" t="s">
        <v>29</v>
      </c>
      <c r="F8" s="3" t="s">
        <v>29</v>
      </c>
      <c r="G8" s="3" t="s">
        <v>29</v>
      </c>
      <c r="H8" s="1" t="s">
        <v>135</v>
      </c>
    </row>
    <row r="9" spans="1:8">
      <c r="A9" s="1">
        <v>5</v>
      </c>
      <c r="B9" s="3" t="s">
        <v>15</v>
      </c>
      <c r="C9" s="3" t="s">
        <v>26</v>
      </c>
      <c r="D9" s="3" t="s">
        <v>110</v>
      </c>
      <c r="E9" s="3" t="s">
        <v>29</v>
      </c>
      <c r="F9" s="3" t="s">
        <v>29</v>
      </c>
      <c r="G9" s="3" t="s">
        <v>29</v>
      </c>
      <c r="H9" s="100" t="s">
        <v>136</v>
      </c>
    </row>
    <row r="10" spans="1:8">
      <c r="A10" s="1">
        <v>6</v>
      </c>
      <c r="B10" s="3" t="s">
        <v>17</v>
      </c>
      <c r="C10" s="3" t="s">
        <v>28</v>
      </c>
      <c r="D10" s="3" t="s">
        <v>29</v>
      </c>
      <c r="E10" s="3" t="s">
        <v>29</v>
      </c>
      <c r="F10" s="3" t="s">
        <v>29</v>
      </c>
      <c r="G10" s="3" t="s">
        <v>29</v>
      </c>
      <c r="H10" s="1" t="s">
        <v>137</v>
      </c>
    </row>
    <row r="11" spans="1:8">
      <c r="A11" s="1">
        <v>7</v>
      </c>
      <c r="B11" s="3" t="s">
        <v>18</v>
      </c>
      <c r="C11" s="3" t="s">
        <v>27</v>
      </c>
      <c r="D11" s="3" t="s">
        <v>29</v>
      </c>
      <c r="E11" s="3" t="s">
        <v>29</v>
      </c>
      <c r="F11" s="3" t="s">
        <v>29</v>
      </c>
      <c r="G11" s="3" t="s">
        <v>29</v>
      </c>
      <c r="H11" s="1" t="s">
        <v>138</v>
      </c>
    </row>
    <row r="12" spans="1:8">
      <c r="B12" s="3" t="s">
        <v>19</v>
      </c>
      <c r="C12" s="3" t="s">
        <v>24</v>
      </c>
      <c r="D12" s="3" t="s">
        <v>29</v>
      </c>
      <c r="E12" s="3" t="s">
        <v>29</v>
      </c>
      <c r="F12" s="3" t="s">
        <v>29</v>
      </c>
      <c r="G12" s="3" t="s">
        <v>29</v>
      </c>
    </row>
    <row r="13" spans="1:8">
      <c r="B13" s="3" t="s">
        <v>20</v>
      </c>
      <c r="C13" s="3" t="s">
        <v>24</v>
      </c>
      <c r="D13" s="3" t="s">
        <v>29</v>
      </c>
      <c r="E13" s="3" t="s">
        <v>29</v>
      </c>
      <c r="F13" s="3" t="s">
        <v>29</v>
      </c>
      <c r="G13" s="3" t="s">
        <v>29</v>
      </c>
    </row>
    <row r="14" spans="1:8">
      <c r="B14" s="3" t="s">
        <v>21</v>
      </c>
      <c r="C14" s="3"/>
      <c r="D14" s="3"/>
      <c r="E14" s="3"/>
      <c r="F14" s="3"/>
      <c r="G14" s="3"/>
    </row>
    <row r="15" spans="1:8">
      <c r="B15" s="98" t="s">
        <v>1</v>
      </c>
      <c r="C15" s="98"/>
      <c r="D15" s="4">
        <f>D2</f>
        <v>46002</v>
      </c>
      <c r="E15" s="4">
        <f t="shared" ref="E15:G15" si="0">E2</f>
        <v>46003</v>
      </c>
      <c r="F15" s="4">
        <f t="shared" si="0"/>
        <v>46004</v>
      </c>
      <c r="G15" s="4">
        <f t="shared" si="0"/>
        <v>46005</v>
      </c>
    </row>
    <row r="16" spans="1:8">
      <c r="A16" s="1">
        <v>1</v>
      </c>
      <c r="B16" s="78" t="s">
        <v>2</v>
      </c>
      <c r="C16" s="78"/>
      <c r="D16" s="3" t="s">
        <v>29</v>
      </c>
      <c r="E16" s="3" t="s">
        <v>29</v>
      </c>
      <c r="F16" s="3" t="s">
        <v>29</v>
      </c>
      <c r="G16" s="3" t="s">
        <v>29</v>
      </c>
    </row>
    <row r="17" spans="1:8" ht="36">
      <c r="A17" s="1">
        <v>2</v>
      </c>
      <c r="B17" s="78" t="s">
        <v>3</v>
      </c>
      <c r="C17" s="78"/>
      <c r="D17" s="6" t="s">
        <v>34</v>
      </c>
      <c r="E17" s="3" t="s">
        <v>29</v>
      </c>
      <c r="F17" s="3" t="s">
        <v>29</v>
      </c>
      <c r="G17" s="3" t="s">
        <v>29</v>
      </c>
      <c r="H17" s="101" t="s">
        <v>132</v>
      </c>
    </row>
    <row r="18" spans="1:8">
      <c r="A18" s="1">
        <v>3</v>
      </c>
      <c r="B18" s="78" t="s">
        <v>4</v>
      </c>
      <c r="C18" s="78"/>
      <c r="D18" s="6" t="s">
        <v>36</v>
      </c>
      <c r="E18" s="3" t="s">
        <v>32</v>
      </c>
      <c r="F18" s="3" t="s">
        <v>29</v>
      </c>
      <c r="G18" s="3" t="s">
        <v>29</v>
      </c>
      <c r="H18" s="1" t="s">
        <v>126</v>
      </c>
    </row>
    <row r="19" spans="1:8">
      <c r="A19" s="1">
        <v>4</v>
      </c>
      <c r="B19" s="78" t="s">
        <v>5</v>
      </c>
      <c r="C19" s="78"/>
      <c r="D19" s="6" t="s">
        <v>73</v>
      </c>
      <c r="E19" s="7" t="s">
        <v>32</v>
      </c>
      <c r="F19" s="7" t="s">
        <v>29</v>
      </c>
      <c r="G19" s="7" t="s">
        <v>29</v>
      </c>
      <c r="H19" s="1" t="s">
        <v>131</v>
      </c>
    </row>
    <row r="20" spans="1:8">
      <c r="A20" s="1">
        <v>5</v>
      </c>
      <c r="B20" s="78" t="s">
        <v>6</v>
      </c>
      <c r="C20" s="78"/>
      <c r="D20" s="3" t="s">
        <v>29</v>
      </c>
      <c r="E20" s="3" t="s">
        <v>29</v>
      </c>
      <c r="F20" s="3" t="s">
        <v>29</v>
      </c>
      <c r="G20" s="3" t="s">
        <v>29</v>
      </c>
      <c r="H20" s="1" t="s">
        <v>109</v>
      </c>
    </row>
    <row r="21" spans="1:8">
      <c r="A21" s="1">
        <v>6</v>
      </c>
      <c r="B21" s="78" t="s">
        <v>7</v>
      </c>
      <c r="C21" s="78"/>
      <c r="D21" s="3" t="s">
        <v>33</v>
      </c>
      <c r="E21" s="6" t="s">
        <v>32</v>
      </c>
      <c r="F21" s="3" t="s">
        <v>29</v>
      </c>
      <c r="G21" s="3" t="s">
        <v>29</v>
      </c>
      <c r="H21" s="1" t="s">
        <v>130</v>
      </c>
    </row>
    <row r="22" spans="1:8">
      <c r="A22" s="1">
        <v>7</v>
      </c>
      <c r="B22" s="78" t="s">
        <v>8</v>
      </c>
      <c r="C22" s="78"/>
      <c r="D22" s="3" t="s">
        <v>30</v>
      </c>
      <c r="E22" s="3" t="s">
        <v>29</v>
      </c>
      <c r="F22" s="3" t="s">
        <v>29</v>
      </c>
      <c r="G22" s="3" t="s">
        <v>29</v>
      </c>
      <c r="H22" s="1" t="s">
        <v>129</v>
      </c>
    </row>
    <row r="23" spans="1:8">
      <c r="A23" s="1">
        <v>8</v>
      </c>
      <c r="B23" s="78" t="s">
        <v>9</v>
      </c>
      <c r="C23" s="78"/>
      <c r="D23" s="3" t="s">
        <v>31</v>
      </c>
      <c r="E23" s="6" t="s">
        <v>32</v>
      </c>
      <c r="F23" s="3" t="s">
        <v>29</v>
      </c>
      <c r="G23" s="3" t="s">
        <v>29</v>
      </c>
      <c r="H23" s="1" t="s">
        <v>128</v>
      </c>
    </row>
    <row r="24" spans="1:8">
      <c r="A24" s="1">
        <v>9</v>
      </c>
      <c r="B24" s="78" t="s">
        <v>10</v>
      </c>
      <c r="C24" s="78"/>
      <c r="D24" s="3" t="s">
        <v>29</v>
      </c>
      <c r="E24" s="3" t="s">
        <v>29</v>
      </c>
      <c r="F24" s="3" t="s">
        <v>29</v>
      </c>
      <c r="G24" s="3" t="s">
        <v>29</v>
      </c>
      <c r="H24" s="99">
        <v>0.91666666666666663</v>
      </c>
    </row>
    <row r="25" spans="1:8">
      <c r="A25" s="1">
        <v>10</v>
      </c>
      <c r="B25" s="78" t="s">
        <v>11</v>
      </c>
      <c r="C25" s="78"/>
      <c r="D25" s="3" t="s">
        <v>29</v>
      </c>
      <c r="E25" s="3" t="s">
        <v>29</v>
      </c>
      <c r="F25" s="3" t="s">
        <v>29</v>
      </c>
      <c r="G25" s="3" t="s">
        <v>29</v>
      </c>
      <c r="H25" s="1" t="s">
        <v>127</v>
      </c>
    </row>
  </sheetData>
  <mergeCells count="12">
    <mergeCell ref="B19:C19"/>
    <mergeCell ref="B20:C20"/>
    <mergeCell ref="B2:C2"/>
    <mergeCell ref="B15:C15"/>
    <mergeCell ref="B16:C16"/>
    <mergeCell ref="B17:C17"/>
    <mergeCell ref="B18:C18"/>
    <mergeCell ref="B21:C21"/>
    <mergeCell ref="B22:C22"/>
    <mergeCell ref="B23:C23"/>
    <mergeCell ref="B24:C24"/>
    <mergeCell ref="B25:C25"/>
  </mergeCells>
  <phoneticPr fontId="2"/>
  <pageMargins left="0.7" right="0.7" top="0.75" bottom="0.75" header="0.3" footer="0.3"/>
  <pageSetup paperSize="9" scale="81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357B-740C-454A-9CF5-CA0D7402B612}">
  <sheetPr>
    <pageSetUpPr fitToPage="1"/>
  </sheetPr>
  <dimension ref="A1:B15"/>
  <sheetViews>
    <sheetView view="pageLayout" zoomScaleNormal="75" workbookViewId="0">
      <selection activeCell="B1" sqref="B1"/>
    </sheetView>
  </sheetViews>
  <sheetFormatPr defaultRowHeight="18"/>
  <sheetData>
    <row r="1" spans="1:2">
      <c r="A1" s="9">
        <v>4.1666666666666664E-2</v>
      </c>
      <c r="B1">
        <v>1</v>
      </c>
    </row>
    <row r="2" spans="1:2">
      <c r="A2" s="9">
        <v>2.0833333333333332E-2</v>
      </c>
      <c r="B2">
        <v>2</v>
      </c>
    </row>
    <row r="3" spans="1:2">
      <c r="B3">
        <v>3</v>
      </c>
    </row>
    <row r="4" spans="1:2">
      <c r="B4">
        <v>4</v>
      </c>
    </row>
    <row r="5" spans="1:2">
      <c r="B5">
        <v>5</v>
      </c>
    </row>
    <row r="6" spans="1:2">
      <c r="B6">
        <v>6</v>
      </c>
    </row>
    <row r="7" spans="1:2">
      <c r="B7">
        <v>7</v>
      </c>
    </row>
    <row r="8" spans="1:2">
      <c r="B8">
        <v>8</v>
      </c>
    </row>
    <row r="9" spans="1:2">
      <c r="B9">
        <v>9</v>
      </c>
    </row>
    <row r="10" spans="1:2">
      <c r="B10">
        <v>10</v>
      </c>
    </row>
    <row r="11" spans="1:2">
      <c r="B11">
        <v>11</v>
      </c>
    </row>
    <row r="12" spans="1:2">
      <c r="B12">
        <v>12</v>
      </c>
    </row>
    <row r="13" spans="1:2">
      <c r="B13">
        <v>13</v>
      </c>
    </row>
    <row r="14" spans="1:2">
      <c r="B14">
        <v>14</v>
      </c>
    </row>
    <row r="15" spans="1:2">
      <c r="B15">
        <v>15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4567-2577-4FD2-A2DF-D958A6058A39}">
  <sheetPr>
    <pageSetUpPr fitToPage="1"/>
  </sheetPr>
  <dimension ref="A1"/>
  <sheetViews>
    <sheetView view="pageLayout" zoomScaleNormal="75" workbookViewId="0">
      <selection activeCell="C6" sqref="C6"/>
    </sheetView>
  </sheetViews>
  <sheetFormatPr defaultRowHeight="18"/>
  <cols>
    <col min="1" max="16384" width="8.796875" style="10"/>
  </cols>
  <sheetData/>
  <phoneticPr fontId="2"/>
  <pageMargins left="0.7" right="0.7" top="0.75" bottom="0.75" header="0.3" footer="0.3"/>
  <pageSetup paperSize="9" scale="8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4</vt:i4>
      </vt:variant>
    </vt:vector>
  </HeadingPairs>
  <TitlesOfParts>
    <vt:vector size="11" baseType="lpstr">
      <vt:lpstr>1211</vt:lpstr>
      <vt:lpstr>1212</vt:lpstr>
      <vt:lpstr>1213</vt:lpstr>
      <vt:lpstr>1214</vt:lpstr>
      <vt:lpstr>メンバー</vt:lpstr>
      <vt:lpstr>参照用（触らない）</vt:lpstr>
      <vt:lpstr>参照用</vt:lpstr>
      <vt:lpstr>'1211'!Print_Area</vt:lpstr>
      <vt:lpstr>'1212'!Print_Area</vt:lpstr>
      <vt:lpstr>'1213'!Print_Area</vt:lpstr>
      <vt:lpstr>'1214'!Print_Area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智之青木</dc:creator>
  <cp:lastModifiedBy>青木 智之</cp:lastModifiedBy>
  <cp:lastPrinted>2025-11-24T01:46:58Z</cp:lastPrinted>
  <dcterms:created xsi:type="dcterms:W3CDTF">2015-06-05T18:19:34Z</dcterms:created>
  <dcterms:modified xsi:type="dcterms:W3CDTF">2025-11-24T01:47:26Z</dcterms:modified>
</cp:coreProperties>
</file>