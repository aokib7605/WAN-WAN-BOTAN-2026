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青木智之\Desktop\aoki\files\2026.03 WAN-WAN BOTAN\03.舞台監督\"/>
    </mc:Choice>
  </mc:AlternateContent>
  <xr:revisionPtr revIDLastSave="0" documentId="13_ncr:1_{DD4DD40C-BC48-482F-8DEE-6BF36D976D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レシート合計" sheetId="3" r:id="rId1"/>
    <sheet name="全て" sheetId="1" r:id="rId2"/>
  </sheets>
  <definedNames>
    <definedName name="_xlnm._FilterDatabase" localSheetId="0" hidden="1">レシート合計!$B$4:$D$4</definedName>
    <definedName name="_xlnm._FilterDatabase" localSheetId="1" hidden="1">全て!$B$4:$H$50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3" l="1"/>
  <c r="F6" i="1"/>
  <c r="H6" i="1" s="1"/>
  <c r="F31" i="1"/>
  <c r="H31" i="1" s="1"/>
  <c r="F32" i="1"/>
  <c r="H32" i="1" s="1"/>
  <c r="F45" i="1"/>
  <c r="H45" i="1" s="1"/>
  <c r="F46" i="1"/>
  <c r="H46" i="1" s="1"/>
  <c r="F7" i="1"/>
  <c r="H7" i="1" s="1"/>
  <c r="F8" i="1"/>
  <c r="H8" i="1" s="1"/>
  <c r="F9" i="1"/>
  <c r="H9" i="1" s="1"/>
  <c r="F10" i="1"/>
  <c r="H10" i="1" s="1"/>
  <c r="F5" i="1"/>
  <c r="H5" i="1" s="1"/>
  <c r="F11" i="1"/>
  <c r="H11" i="1" s="1"/>
  <c r="F12" i="1"/>
  <c r="H12" i="1" s="1"/>
  <c r="F13" i="1"/>
  <c r="H13" i="1" s="1"/>
  <c r="F14" i="1"/>
  <c r="H14" i="1" s="1"/>
  <c r="F15" i="1"/>
  <c r="H15" i="1" s="1"/>
  <c r="F16" i="1"/>
  <c r="H16" i="1" s="1"/>
  <c r="F17" i="1"/>
  <c r="H17" i="1" s="1"/>
  <c r="F18" i="1"/>
  <c r="H18" i="1" s="1"/>
  <c r="F19" i="1"/>
  <c r="H19" i="1" s="1"/>
  <c r="F20" i="1"/>
  <c r="H20" i="1" s="1"/>
  <c r="F21" i="1"/>
  <c r="H21" i="1" s="1"/>
  <c r="F22" i="1"/>
  <c r="H22" i="1" s="1"/>
  <c r="F23" i="1"/>
  <c r="H23" i="1" s="1"/>
  <c r="F25" i="1"/>
  <c r="H25" i="1" s="1"/>
  <c r="F26" i="1"/>
  <c r="H26" i="1" s="1"/>
  <c r="F27" i="1"/>
  <c r="H27" i="1" s="1"/>
  <c r="F28" i="1"/>
  <c r="H28" i="1" s="1"/>
  <c r="F29" i="1"/>
  <c r="H29" i="1" s="1"/>
  <c r="F30" i="1"/>
  <c r="H30" i="1" s="1"/>
  <c r="F33" i="1"/>
  <c r="H33" i="1" s="1"/>
  <c r="F34" i="1"/>
  <c r="H34" i="1" s="1"/>
  <c r="F35" i="1"/>
  <c r="H35" i="1" s="1"/>
  <c r="F36" i="1"/>
  <c r="H36" i="1" s="1"/>
  <c r="F37" i="1"/>
  <c r="H37" i="1" s="1"/>
  <c r="F38" i="1"/>
  <c r="H38" i="1" s="1"/>
  <c r="F39" i="1"/>
  <c r="H39" i="1" s="1"/>
  <c r="F40" i="1"/>
  <c r="H40" i="1" s="1"/>
  <c r="F41" i="1"/>
  <c r="H41" i="1" s="1"/>
  <c r="F42" i="1"/>
  <c r="H42" i="1" s="1"/>
  <c r="F47" i="1"/>
  <c r="H47" i="1" s="1"/>
  <c r="F48" i="1"/>
  <c r="H48" i="1" s="1"/>
  <c r="F49" i="1"/>
  <c r="H49" i="1" s="1"/>
  <c r="F50" i="1"/>
  <c r="H50" i="1" s="1"/>
  <c r="F43" i="1"/>
  <c r="H43" i="1" s="1"/>
  <c r="F24" i="1"/>
  <c r="H24" i="1" s="1"/>
  <c r="F44" i="1"/>
  <c r="H44" i="1" s="1"/>
  <c r="C52" i="1" l="1"/>
</calcChain>
</file>

<file path=xl/sharedStrings.xml><?xml version="1.0" encoding="utf-8"?>
<sst xmlns="http://schemas.openxmlformats.org/spreadsheetml/2006/main" count="122" uniqueCount="57">
  <si>
    <t>日付</t>
    <rPh sb="0" eb="2">
      <t>ヒヅケ</t>
    </rPh>
    <phoneticPr fontId="1"/>
  </si>
  <si>
    <t>名称</t>
    <rPh sb="0" eb="2">
      <t>メイショウ</t>
    </rPh>
    <phoneticPr fontId="1"/>
  </si>
  <si>
    <t>単価</t>
    <rPh sb="0" eb="2">
      <t>タンカ</t>
    </rPh>
    <phoneticPr fontId="1"/>
  </si>
  <si>
    <t>個数</t>
    <rPh sb="0" eb="2">
      <t>コスウ</t>
    </rPh>
    <phoneticPr fontId="1"/>
  </si>
  <si>
    <t>金額</t>
    <rPh sb="0" eb="2">
      <t>キンガク</t>
    </rPh>
    <phoneticPr fontId="1"/>
  </si>
  <si>
    <t>水性多用途 1.6L ミルキーホワイト</t>
    <rPh sb="0" eb="5">
      <t>スイセイタヨウト</t>
    </rPh>
    <phoneticPr fontId="1"/>
  </si>
  <si>
    <t>水性多用途 1.6L ライトグレー</t>
    <rPh sb="0" eb="5">
      <t>スイセイタヨウト</t>
    </rPh>
    <phoneticPr fontId="1"/>
  </si>
  <si>
    <t>レンタカー</t>
    <phoneticPr fontId="1"/>
  </si>
  <si>
    <t>店舗</t>
    <rPh sb="0" eb="2">
      <t>テンポ</t>
    </rPh>
    <phoneticPr fontId="1"/>
  </si>
  <si>
    <t>コーナン</t>
    <phoneticPr fontId="1"/>
  </si>
  <si>
    <t>業務レンタカー</t>
    <rPh sb="0" eb="2">
      <t>ギョウム</t>
    </rPh>
    <phoneticPr fontId="1"/>
  </si>
  <si>
    <t>鉄丸釘 500g 25mm</t>
    <rPh sb="0" eb="1">
      <t>テツ</t>
    </rPh>
    <rPh sb="1" eb="2">
      <t>マル</t>
    </rPh>
    <rPh sb="2" eb="3">
      <t>クギ</t>
    </rPh>
    <phoneticPr fontId="1"/>
  </si>
  <si>
    <t>スリムビス 25mm</t>
    <phoneticPr fontId="1"/>
  </si>
  <si>
    <t>スリムビス 65mm</t>
    <phoneticPr fontId="1"/>
  </si>
  <si>
    <t>スリムビス 50mm</t>
    <phoneticPr fontId="1"/>
  </si>
  <si>
    <t>養生テープ 50m</t>
    <rPh sb="0" eb="2">
      <t>ヨウジョウ</t>
    </rPh>
    <phoneticPr fontId="1"/>
  </si>
  <si>
    <t>ハイス空錠 技研</t>
    <rPh sb="3" eb="4">
      <t>クウ</t>
    </rPh>
    <rPh sb="4" eb="5">
      <t>ジョウ</t>
    </rPh>
    <rPh sb="6" eb="8">
      <t>ギケン</t>
    </rPh>
    <phoneticPr fontId="1"/>
  </si>
  <si>
    <t>ビバホーム</t>
    <phoneticPr fontId="1"/>
  </si>
  <si>
    <t>ラワンベニヤ T2</t>
    <phoneticPr fontId="1"/>
  </si>
  <si>
    <t>NONJAS 合板</t>
    <rPh sb="7" eb="9">
      <t>ゴウバン</t>
    </rPh>
    <phoneticPr fontId="1"/>
  </si>
  <si>
    <t>A杉胴縁 16 * 40 * 2m</t>
    <rPh sb="1" eb="2">
      <t>スギ</t>
    </rPh>
    <rPh sb="2" eb="4">
      <t>ドウブチ</t>
    </rPh>
    <phoneticPr fontId="1"/>
  </si>
  <si>
    <t>A杉胴縁 35 * 35 * 2m</t>
    <rPh sb="1" eb="2">
      <t>スギ</t>
    </rPh>
    <rPh sb="2" eb="4">
      <t>ドウブチ</t>
    </rPh>
    <phoneticPr fontId="1"/>
  </si>
  <si>
    <t>コニシ CH-38 750G</t>
    <phoneticPr fontId="1"/>
  </si>
  <si>
    <t>埋込スイッチB1 片</t>
    <rPh sb="0" eb="2">
      <t>ウメコミ</t>
    </rPh>
    <rPh sb="9" eb="10">
      <t>カタ</t>
    </rPh>
    <phoneticPr fontId="1"/>
  </si>
  <si>
    <t>DIY丁番</t>
    <rPh sb="3" eb="5">
      <t>チョウバン</t>
    </rPh>
    <phoneticPr fontId="1"/>
  </si>
  <si>
    <t>自在キャスター</t>
    <rPh sb="0" eb="2">
      <t>ジザイ</t>
    </rPh>
    <phoneticPr fontId="1"/>
  </si>
  <si>
    <t>フラッター戸車</t>
    <rPh sb="5" eb="7">
      <t>トグルマ</t>
    </rPh>
    <phoneticPr fontId="1"/>
  </si>
  <si>
    <t>A杉胴縁 16 * 40 * 2m まとめ値引き</t>
    <rPh sb="21" eb="23">
      <t>ネビ</t>
    </rPh>
    <phoneticPr fontId="1"/>
  </si>
  <si>
    <t>A杉胴縁 35 * 35 * 2m まとめ値引き</t>
    <rPh sb="21" eb="23">
      <t>ネビ</t>
    </rPh>
    <phoneticPr fontId="1"/>
  </si>
  <si>
    <t>1 * 4 6F</t>
    <phoneticPr fontId="1"/>
  </si>
  <si>
    <t>2 * 4 6F</t>
    <phoneticPr fontId="1"/>
  </si>
  <si>
    <t>コーナンPro</t>
    <phoneticPr fontId="1"/>
  </si>
  <si>
    <t>ハピオフレンズ 水性多用途 1.6L ライトグレー</t>
    <rPh sb="8" eb="13">
      <t>スイセイタヨウト</t>
    </rPh>
    <phoneticPr fontId="1"/>
  </si>
  <si>
    <t>多用途厚手両面テープ 50m</t>
    <rPh sb="0" eb="3">
      <t>タヨウト</t>
    </rPh>
    <rPh sb="3" eb="5">
      <t>アツデ</t>
    </rPh>
    <rPh sb="5" eb="7">
      <t>リョウメン</t>
    </rPh>
    <phoneticPr fontId="1"/>
  </si>
  <si>
    <t>ハピオフレンズ 水性多用途 0.2L 水</t>
    <rPh sb="8" eb="13">
      <t>スイセイタヨウト</t>
    </rPh>
    <rPh sb="19" eb="20">
      <t>ミズ</t>
    </rPh>
    <phoneticPr fontId="1"/>
  </si>
  <si>
    <t>多用途厚手両面テープ 30m</t>
    <rPh sb="0" eb="3">
      <t>タヨウト</t>
    </rPh>
    <rPh sb="3" eb="5">
      <t>アツデ</t>
    </rPh>
    <rPh sb="5" eb="7">
      <t>リョウメン</t>
    </rPh>
    <phoneticPr fontId="1"/>
  </si>
  <si>
    <t>ローラーペア</t>
    <phoneticPr fontId="1"/>
  </si>
  <si>
    <t>軍手 10組</t>
    <rPh sb="0" eb="2">
      <t>グンテ</t>
    </rPh>
    <rPh sb="5" eb="6">
      <t>クミ</t>
    </rPh>
    <phoneticPr fontId="1"/>
  </si>
  <si>
    <t>金具</t>
    <rPh sb="0" eb="2">
      <t>カナグ</t>
    </rPh>
    <phoneticPr fontId="1"/>
  </si>
  <si>
    <t>建築用4P 30 * 18</t>
    <rPh sb="0" eb="3">
      <t>ケンチクヨウ</t>
    </rPh>
    <phoneticPr fontId="1"/>
  </si>
  <si>
    <t>AJ606 S2.0</t>
    <phoneticPr fontId="1"/>
  </si>
  <si>
    <t>ストレッチフィルム</t>
    <phoneticPr fontId="1"/>
  </si>
  <si>
    <t>ビニテ グレー</t>
    <phoneticPr fontId="1"/>
  </si>
  <si>
    <t>木材カット</t>
    <rPh sb="0" eb="2">
      <t>モクザイ</t>
    </rPh>
    <phoneticPr fontId="1"/>
  </si>
  <si>
    <t>DS001 すりガラス 90 * 200</t>
    <phoneticPr fontId="1"/>
  </si>
  <si>
    <t>Amazon</t>
    <phoneticPr fontId="1"/>
  </si>
  <si>
    <t>フローリング 東リ CF9361</t>
    <rPh sb="7" eb="8">
      <t>ヒガシ</t>
    </rPh>
    <phoneticPr fontId="1"/>
  </si>
  <si>
    <t>楽天市場</t>
    <rPh sb="0" eb="2">
      <t>ラクテン</t>
    </rPh>
    <rPh sb="2" eb="4">
      <t>イチバ</t>
    </rPh>
    <phoneticPr fontId="1"/>
  </si>
  <si>
    <t>まとめ値引き</t>
    <rPh sb="3" eb="5">
      <t>ネビ</t>
    </rPh>
    <phoneticPr fontId="1"/>
  </si>
  <si>
    <t>税込み</t>
    <rPh sb="0" eb="2">
      <t>ゼイコ</t>
    </rPh>
    <phoneticPr fontId="1"/>
  </si>
  <si>
    <t>総額</t>
    <rPh sb="0" eb="2">
      <t>ソウガク</t>
    </rPh>
    <phoneticPr fontId="1"/>
  </si>
  <si>
    <t>MRS-10 黄 電源コード</t>
    <rPh sb="7" eb="8">
      <t>キ</t>
    </rPh>
    <rPh sb="9" eb="11">
      <t>デンゲン</t>
    </rPh>
    <phoneticPr fontId="1"/>
  </si>
  <si>
    <t>合計</t>
    <rPh sb="0" eb="2">
      <t>ゴウケイ</t>
    </rPh>
    <phoneticPr fontId="1"/>
  </si>
  <si>
    <t>⇒税額算出方法が店舗ごとに異なるため、上記金額は実際のレシート合計と相違します。
上記金額は誤りです。</t>
    <rPh sb="1" eb="3">
      <t>ゼイガク</t>
    </rPh>
    <rPh sb="3" eb="5">
      <t>サンシュツ</t>
    </rPh>
    <rPh sb="5" eb="7">
      <t>ホウホウ</t>
    </rPh>
    <rPh sb="8" eb="10">
      <t>テンポ</t>
    </rPh>
    <rPh sb="13" eb="14">
      <t>コト</t>
    </rPh>
    <rPh sb="19" eb="21">
      <t>ジョウキ</t>
    </rPh>
    <rPh sb="21" eb="23">
      <t>キンガク</t>
    </rPh>
    <rPh sb="24" eb="26">
      <t>ジッサイ</t>
    </rPh>
    <rPh sb="31" eb="33">
      <t>ゴウケイ</t>
    </rPh>
    <rPh sb="34" eb="36">
      <t>ソウイ</t>
    </rPh>
    <rPh sb="41" eb="43">
      <t>ジョウキ</t>
    </rPh>
    <rPh sb="43" eb="45">
      <t>キンガク</t>
    </rPh>
    <rPh sb="46" eb="47">
      <t>アヤマ</t>
    </rPh>
    <phoneticPr fontId="1"/>
  </si>
  <si>
    <t>⇒レシート金額は全て税込み価格で記載しています。</t>
    <rPh sb="5" eb="7">
      <t>キンガク</t>
    </rPh>
    <rPh sb="8" eb="9">
      <t>スベ</t>
    </rPh>
    <rPh sb="10" eb="12">
      <t>ゼイコ</t>
    </rPh>
    <rPh sb="13" eb="15">
      <t>カカク</t>
    </rPh>
    <rPh sb="16" eb="18">
      <t>キサイ</t>
    </rPh>
    <phoneticPr fontId="1"/>
  </si>
  <si>
    <t>レシート金額合計</t>
    <phoneticPr fontId="1"/>
  </si>
  <si>
    <t>購入明細</t>
    <rPh sb="0" eb="2">
      <t>コウニュウ</t>
    </rPh>
    <rPh sb="2" eb="4">
      <t>メイサイ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</si>
</sst>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8"/>
      <color theme="1"/>
      <name val="Yu Gothic"/>
      <family val="2"/>
      <scheme val="minor"/>
    </font>
    <font>
      <sz val="22"/>
      <color theme="1"/>
      <name val="Yu Gothic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0" xfId="0" applyNumberFormat="1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 applyAlignment="1">
      <alignment horizontal="center" vertical="center"/>
    </xf>
    <xf numFmtId="3" fontId="0" fillId="0" borderId="0" xfId="0" applyNumberFormat="1"/>
    <xf numFmtId="3" fontId="0" fillId="0" borderId="1" xfId="0" applyNumberFormat="1" applyBorder="1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A35B5-F748-4862-AC9A-2A87F2500770}">
  <sheetPr>
    <pageSetUpPr fitToPage="1"/>
  </sheetPr>
  <dimension ref="B2:D21"/>
  <sheetViews>
    <sheetView tabSelected="1" workbookViewId="0"/>
  </sheetViews>
  <sheetFormatPr defaultRowHeight="18"/>
  <cols>
    <col min="1" max="1" width="3.69921875" customWidth="1"/>
    <col min="2" max="2" width="10.19921875" bestFit="1" customWidth="1"/>
    <col min="4" max="4" width="14.3984375" bestFit="1" customWidth="1"/>
  </cols>
  <sheetData>
    <row r="2" spans="2:4" ht="35.4">
      <c r="B2" s="9" t="s">
        <v>55</v>
      </c>
    </row>
    <row r="3" spans="2:4" ht="28.8">
      <c r="B3" s="8"/>
    </row>
    <row r="4" spans="2:4">
      <c r="B4" s="4" t="s">
        <v>0</v>
      </c>
      <c r="C4" s="4" t="s">
        <v>4</v>
      </c>
      <c r="D4" s="4" t="s">
        <v>8</v>
      </c>
    </row>
    <row r="5" spans="2:4">
      <c r="B5" s="3">
        <v>46081</v>
      </c>
      <c r="C5" s="2">
        <v>1466</v>
      </c>
      <c r="D5" s="2" t="s">
        <v>9</v>
      </c>
    </row>
    <row r="6" spans="2:4">
      <c r="B6" s="3">
        <v>46082</v>
      </c>
      <c r="C6" s="2">
        <v>2466</v>
      </c>
      <c r="D6" s="2" t="s">
        <v>9</v>
      </c>
    </row>
    <row r="7" spans="2:4">
      <c r="B7" s="3">
        <v>46082</v>
      </c>
      <c r="C7" s="2">
        <v>2980</v>
      </c>
      <c r="D7" s="2" t="s">
        <v>17</v>
      </c>
    </row>
    <row r="8" spans="2:4">
      <c r="B8" s="3">
        <v>46082</v>
      </c>
      <c r="C8" s="2">
        <v>30797</v>
      </c>
      <c r="D8" s="2" t="s">
        <v>17</v>
      </c>
    </row>
    <row r="9" spans="2:4">
      <c r="B9" s="3">
        <v>46082</v>
      </c>
      <c r="C9" s="2">
        <v>220</v>
      </c>
      <c r="D9" s="2" t="s">
        <v>17</v>
      </c>
    </row>
    <row r="10" spans="2:4">
      <c r="B10" s="3">
        <v>46089</v>
      </c>
      <c r="C10" s="2">
        <v>11522</v>
      </c>
      <c r="D10" s="2" t="s">
        <v>17</v>
      </c>
    </row>
    <row r="11" spans="2:4">
      <c r="B11" s="3">
        <v>46090</v>
      </c>
      <c r="C11" s="2">
        <v>26520</v>
      </c>
      <c r="D11" s="2" t="s">
        <v>47</v>
      </c>
    </row>
    <row r="12" spans="2:4">
      <c r="B12" s="3">
        <v>46095</v>
      </c>
      <c r="C12" s="2">
        <v>2069</v>
      </c>
      <c r="D12" s="2" t="s">
        <v>45</v>
      </c>
    </row>
    <row r="13" spans="2:4">
      <c r="B13" s="3">
        <v>46096</v>
      </c>
      <c r="C13" s="2">
        <v>9948</v>
      </c>
      <c r="D13" s="2" t="s">
        <v>9</v>
      </c>
    </row>
    <row r="14" spans="2:4">
      <c r="B14" s="3">
        <v>46101</v>
      </c>
      <c r="C14" s="2">
        <v>1155</v>
      </c>
      <c r="D14" s="2" t="s">
        <v>17</v>
      </c>
    </row>
    <row r="15" spans="2:4">
      <c r="B15" s="3">
        <v>46101</v>
      </c>
      <c r="C15" s="2">
        <v>13880</v>
      </c>
      <c r="D15" s="2" t="s">
        <v>9</v>
      </c>
    </row>
    <row r="16" spans="2:4">
      <c r="B16" s="3">
        <v>46102</v>
      </c>
      <c r="C16" s="6">
        <v>22000</v>
      </c>
      <c r="D16" s="2" t="s">
        <v>10</v>
      </c>
    </row>
    <row r="17" spans="2:4">
      <c r="B17" s="3">
        <v>46102</v>
      </c>
      <c r="C17" s="2">
        <v>5706</v>
      </c>
      <c r="D17" s="2" t="s">
        <v>9</v>
      </c>
    </row>
    <row r="18" spans="2:4">
      <c r="B18" s="3">
        <v>46103</v>
      </c>
      <c r="C18" s="2">
        <v>2578</v>
      </c>
      <c r="D18" s="2" t="s">
        <v>17</v>
      </c>
    </row>
    <row r="20" spans="2:4">
      <c r="C20" t="s">
        <v>52</v>
      </c>
      <c r="D20" s="5">
        <f>SUM(C5:C18)</f>
        <v>133307</v>
      </c>
    </row>
    <row r="21" spans="2:4">
      <c r="D21" t="s">
        <v>54</v>
      </c>
    </row>
  </sheetData>
  <autoFilter ref="B4:D4" xr:uid="{639A35B5-F748-4862-AC9A-2A87F2500770}">
    <sortState xmlns:xlrd2="http://schemas.microsoft.com/office/spreadsheetml/2017/richdata2" ref="B5:D18">
      <sortCondition ref="B4"/>
    </sortState>
  </autoFilter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H53"/>
  <sheetViews>
    <sheetView workbookViewId="0">
      <selection activeCell="B2" sqref="B2"/>
    </sheetView>
  </sheetViews>
  <sheetFormatPr defaultRowHeight="18"/>
  <cols>
    <col min="1" max="1" width="3.69921875" customWidth="1"/>
    <col min="2" max="2" width="10.19921875" bestFit="1" customWidth="1"/>
    <col min="3" max="3" width="41.296875" bestFit="1" customWidth="1"/>
    <col min="7" max="7" width="14.3984375" bestFit="1" customWidth="1"/>
  </cols>
  <sheetData>
    <row r="2" spans="2:8" ht="35.4">
      <c r="B2" s="9" t="s">
        <v>56</v>
      </c>
    </row>
    <row r="4" spans="2:8">
      <c r="B4" s="4" t="s">
        <v>0</v>
      </c>
      <c r="C4" s="4" t="s">
        <v>1</v>
      </c>
      <c r="D4" s="4" t="s">
        <v>2</v>
      </c>
      <c r="E4" s="4" t="s">
        <v>3</v>
      </c>
      <c r="F4" s="4" t="s">
        <v>4</v>
      </c>
      <c r="G4" s="4" t="s">
        <v>8</v>
      </c>
      <c r="H4" s="4" t="s">
        <v>49</v>
      </c>
    </row>
    <row r="5" spans="2:8">
      <c r="B5" s="3">
        <v>46081</v>
      </c>
      <c r="C5" s="2" t="s">
        <v>15</v>
      </c>
      <c r="D5" s="2">
        <v>745</v>
      </c>
      <c r="E5" s="2">
        <v>2</v>
      </c>
      <c r="F5" s="2">
        <f>D5*E5</f>
        <v>1490</v>
      </c>
      <c r="G5" s="2" t="s">
        <v>9</v>
      </c>
      <c r="H5" s="2">
        <f>F5</f>
        <v>1490</v>
      </c>
    </row>
    <row r="6" spans="2:8">
      <c r="B6" s="3">
        <v>46081</v>
      </c>
      <c r="C6" s="2" t="s">
        <v>48</v>
      </c>
      <c r="D6" s="2">
        <v>-44</v>
      </c>
      <c r="E6" s="2">
        <v>1</v>
      </c>
      <c r="F6" s="2">
        <f>D6*E6</f>
        <v>-44</v>
      </c>
      <c r="G6" s="2" t="s">
        <v>9</v>
      </c>
      <c r="H6" s="2">
        <f>F6</f>
        <v>-44</v>
      </c>
    </row>
    <row r="7" spans="2:8">
      <c r="B7" s="3">
        <v>46082</v>
      </c>
      <c r="C7" s="2" t="s">
        <v>11</v>
      </c>
      <c r="D7" s="2">
        <v>327</v>
      </c>
      <c r="E7" s="2">
        <v>1</v>
      </c>
      <c r="F7" s="2">
        <f>D7*E7</f>
        <v>327</v>
      </c>
      <c r="G7" s="2" t="s">
        <v>9</v>
      </c>
      <c r="H7" s="2">
        <f>F7</f>
        <v>327</v>
      </c>
    </row>
    <row r="8" spans="2:8">
      <c r="B8" s="3">
        <v>46082</v>
      </c>
      <c r="C8" s="2" t="s">
        <v>12</v>
      </c>
      <c r="D8" s="2">
        <v>712</v>
      </c>
      <c r="E8" s="2">
        <v>1</v>
      </c>
      <c r="F8" s="2">
        <f>D8*E8</f>
        <v>712</v>
      </c>
      <c r="G8" s="2" t="s">
        <v>9</v>
      </c>
      <c r="H8" s="2">
        <f>F8</f>
        <v>712</v>
      </c>
    </row>
    <row r="9" spans="2:8">
      <c r="B9" s="3">
        <v>46082</v>
      </c>
      <c r="C9" s="2" t="s">
        <v>13</v>
      </c>
      <c r="D9" s="2">
        <v>712</v>
      </c>
      <c r="E9" s="2">
        <v>1</v>
      </c>
      <c r="F9" s="2">
        <f>D9*E9</f>
        <v>712</v>
      </c>
      <c r="G9" s="2" t="s">
        <v>9</v>
      </c>
      <c r="H9" s="2">
        <f>F9</f>
        <v>712</v>
      </c>
    </row>
    <row r="10" spans="2:8">
      <c r="B10" s="3">
        <v>46082</v>
      </c>
      <c r="C10" s="2" t="s">
        <v>14</v>
      </c>
      <c r="D10" s="2">
        <v>712</v>
      </c>
      <c r="E10" s="2">
        <v>1</v>
      </c>
      <c r="F10" s="2">
        <f>D10*E10</f>
        <v>712</v>
      </c>
      <c r="G10" s="2" t="s">
        <v>9</v>
      </c>
      <c r="H10" s="2">
        <f>F10</f>
        <v>712</v>
      </c>
    </row>
    <row r="11" spans="2:8">
      <c r="B11" s="3">
        <v>46082</v>
      </c>
      <c r="C11" s="2" t="s">
        <v>16</v>
      </c>
      <c r="D11" s="2">
        <v>2980</v>
      </c>
      <c r="E11" s="2">
        <v>1</v>
      </c>
      <c r="F11" s="2">
        <f>D11*E11</f>
        <v>2980</v>
      </c>
      <c r="G11" s="2" t="s">
        <v>17</v>
      </c>
      <c r="H11" s="2">
        <f>F11 * 1.1</f>
        <v>3278.0000000000005</v>
      </c>
    </row>
    <row r="12" spans="2:8">
      <c r="B12" s="3">
        <v>46082</v>
      </c>
      <c r="C12" s="2" t="s">
        <v>18</v>
      </c>
      <c r="D12" s="2">
        <v>718</v>
      </c>
      <c r="E12" s="2">
        <v>13</v>
      </c>
      <c r="F12" s="2">
        <f>D12*E12</f>
        <v>9334</v>
      </c>
      <c r="G12" s="2" t="s">
        <v>17</v>
      </c>
      <c r="H12" s="2">
        <f>F12 * 1.1</f>
        <v>10267.400000000001</v>
      </c>
    </row>
    <row r="13" spans="2:8">
      <c r="B13" s="3">
        <v>46082</v>
      </c>
      <c r="C13" s="2" t="s">
        <v>19</v>
      </c>
      <c r="D13" s="2">
        <v>1580</v>
      </c>
      <c r="E13" s="2">
        <v>1</v>
      </c>
      <c r="F13" s="2">
        <f>D13*E13</f>
        <v>1580</v>
      </c>
      <c r="G13" s="2" t="s">
        <v>17</v>
      </c>
      <c r="H13" s="2">
        <f>F13 * 1.1</f>
        <v>1738.0000000000002</v>
      </c>
    </row>
    <row r="14" spans="2:8">
      <c r="B14" s="3">
        <v>46082</v>
      </c>
      <c r="C14" s="2" t="s">
        <v>20</v>
      </c>
      <c r="D14" s="2">
        <v>198</v>
      </c>
      <c r="E14" s="2">
        <v>30</v>
      </c>
      <c r="F14" s="2">
        <f>D14*E14</f>
        <v>5940</v>
      </c>
      <c r="G14" s="2" t="s">
        <v>17</v>
      </c>
      <c r="H14" s="2">
        <f>F14 * 1.1</f>
        <v>6534.0000000000009</v>
      </c>
    </row>
    <row r="15" spans="2:8">
      <c r="B15" s="3">
        <v>46082</v>
      </c>
      <c r="C15" s="2" t="s">
        <v>21</v>
      </c>
      <c r="D15" s="2">
        <v>290</v>
      </c>
      <c r="E15" s="2">
        <v>18</v>
      </c>
      <c r="F15" s="2">
        <f>D15*E15</f>
        <v>5220</v>
      </c>
      <c r="G15" s="2" t="s">
        <v>17</v>
      </c>
      <c r="H15" s="2">
        <f>F15 * 1.1</f>
        <v>5742.0000000000009</v>
      </c>
    </row>
    <row r="16" spans="2:8">
      <c r="B16" s="3">
        <v>46082</v>
      </c>
      <c r="C16" s="2" t="s">
        <v>51</v>
      </c>
      <c r="D16" s="2">
        <v>2680</v>
      </c>
      <c r="E16" s="2">
        <v>1</v>
      </c>
      <c r="F16" s="2">
        <f>D16*E16</f>
        <v>2680</v>
      </c>
      <c r="G16" s="2" t="s">
        <v>17</v>
      </c>
      <c r="H16" s="2">
        <f>F16 * 1.1</f>
        <v>2948.0000000000005</v>
      </c>
    </row>
    <row r="17" spans="2:8">
      <c r="B17" s="3">
        <v>46082</v>
      </c>
      <c r="C17" s="2" t="s">
        <v>22</v>
      </c>
      <c r="D17" s="2">
        <v>728</v>
      </c>
      <c r="E17" s="2">
        <v>1</v>
      </c>
      <c r="F17" s="2">
        <f>D17*E17</f>
        <v>728</v>
      </c>
      <c r="G17" s="2" t="s">
        <v>17</v>
      </c>
      <c r="H17" s="2">
        <f>F17 * 1.1</f>
        <v>800.80000000000007</v>
      </c>
    </row>
    <row r="18" spans="2:8">
      <c r="B18" s="3">
        <v>46082</v>
      </c>
      <c r="C18" s="2" t="s">
        <v>23</v>
      </c>
      <c r="D18" s="2">
        <v>908</v>
      </c>
      <c r="E18" s="2">
        <v>1</v>
      </c>
      <c r="F18" s="2">
        <f>D18*E18</f>
        <v>908</v>
      </c>
      <c r="G18" s="2" t="s">
        <v>17</v>
      </c>
      <c r="H18" s="2">
        <f>F18 * 1.1</f>
        <v>998.80000000000007</v>
      </c>
    </row>
    <row r="19" spans="2:8">
      <c r="B19" s="3">
        <v>46082</v>
      </c>
      <c r="C19" s="2" t="s">
        <v>24</v>
      </c>
      <c r="D19" s="2">
        <v>548</v>
      </c>
      <c r="E19" s="2">
        <v>3</v>
      </c>
      <c r="F19" s="2">
        <f>D19*E19</f>
        <v>1644</v>
      </c>
      <c r="G19" s="2" t="s">
        <v>17</v>
      </c>
      <c r="H19" s="2">
        <f>F19 * 1.1</f>
        <v>1808.4</v>
      </c>
    </row>
    <row r="20" spans="2:8">
      <c r="B20" s="3">
        <v>46082</v>
      </c>
      <c r="C20" s="2" t="s">
        <v>25</v>
      </c>
      <c r="D20" s="2">
        <v>138</v>
      </c>
      <c r="E20" s="2">
        <v>2</v>
      </c>
      <c r="F20" s="2">
        <f>D20*E20</f>
        <v>276</v>
      </c>
      <c r="G20" s="2" t="s">
        <v>17</v>
      </c>
      <c r="H20" s="2">
        <f>F20 * 1.1</f>
        <v>303.60000000000002</v>
      </c>
    </row>
    <row r="21" spans="2:8">
      <c r="B21" s="3">
        <v>46082</v>
      </c>
      <c r="C21" s="2" t="s">
        <v>26</v>
      </c>
      <c r="D21" s="2">
        <v>168</v>
      </c>
      <c r="E21" s="2">
        <v>3</v>
      </c>
      <c r="F21" s="2">
        <f>D21*E21</f>
        <v>504</v>
      </c>
      <c r="G21" s="2" t="s">
        <v>17</v>
      </c>
      <c r="H21" s="2">
        <f>F21 * 1.1</f>
        <v>554.40000000000009</v>
      </c>
    </row>
    <row r="22" spans="2:8">
      <c r="B22" s="3">
        <v>46082</v>
      </c>
      <c r="C22" s="2" t="s">
        <v>27</v>
      </c>
      <c r="D22" s="2">
        <v>-600</v>
      </c>
      <c r="E22" s="2">
        <v>1</v>
      </c>
      <c r="F22" s="2">
        <f>D22*E22</f>
        <v>-600</v>
      </c>
      <c r="G22" s="2" t="s">
        <v>17</v>
      </c>
      <c r="H22" s="2">
        <f>F22</f>
        <v>-600</v>
      </c>
    </row>
    <row r="23" spans="2:8">
      <c r="B23" s="3">
        <v>46082</v>
      </c>
      <c r="C23" s="2" t="s">
        <v>28</v>
      </c>
      <c r="D23" s="2">
        <v>-216</v>
      </c>
      <c r="E23" s="2">
        <v>1</v>
      </c>
      <c r="F23" s="2">
        <f>D23*E23</f>
        <v>-216</v>
      </c>
      <c r="G23" s="2" t="s">
        <v>17</v>
      </c>
      <c r="H23" s="2">
        <f>F23</f>
        <v>-216</v>
      </c>
    </row>
    <row r="24" spans="2:8">
      <c r="B24" s="3">
        <v>46082</v>
      </c>
      <c r="C24" s="2" t="s">
        <v>43</v>
      </c>
      <c r="D24" s="2">
        <v>200</v>
      </c>
      <c r="E24" s="2">
        <v>1</v>
      </c>
      <c r="F24" s="2">
        <f>D24*E24</f>
        <v>200</v>
      </c>
      <c r="G24" s="2" t="s">
        <v>17</v>
      </c>
      <c r="H24" s="2">
        <f>F24 * 1.1</f>
        <v>220.00000000000003</v>
      </c>
    </row>
    <row r="25" spans="2:8">
      <c r="B25" s="3">
        <v>46089</v>
      </c>
      <c r="C25" s="2" t="s">
        <v>20</v>
      </c>
      <c r="D25" s="2">
        <v>198</v>
      </c>
      <c r="E25" s="2">
        <v>20</v>
      </c>
      <c r="F25" s="2">
        <f>D25*E25</f>
        <v>3960</v>
      </c>
      <c r="G25" s="2" t="s">
        <v>17</v>
      </c>
      <c r="H25" s="2">
        <f>F25 * 1.1</f>
        <v>4356</v>
      </c>
    </row>
    <row r="26" spans="2:8">
      <c r="B26" s="3">
        <v>46089</v>
      </c>
      <c r="C26" s="2" t="s">
        <v>21</v>
      </c>
      <c r="D26" s="2">
        <v>290</v>
      </c>
      <c r="E26" s="2">
        <v>18</v>
      </c>
      <c r="F26" s="2">
        <f>D26*E26</f>
        <v>5220</v>
      </c>
      <c r="G26" s="2" t="s">
        <v>17</v>
      </c>
      <c r="H26" s="2">
        <f>F26 * 1.1</f>
        <v>5742.0000000000009</v>
      </c>
    </row>
    <row r="27" spans="2:8">
      <c r="B27" s="3">
        <v>46089</v>
      </c>
      <c r="C27" s="2" t="s">
        <v>27</v>
      </c>
      <c r="D27" s="2">
        <v>-400</v>
      </c>
      <c r="E27" s="2">
        <v>1</v>
      </c>
      <c r="F27" s="2">
        <f>D27*E27</f>
        <v>-400</v>
      </c>
      <c r="G27" s="2" t="s">
        <v>17</v>
      </c>
      <c r="H27" s="2">
        <f>F27</f>
        <v>-400</v>
      </c>
    </row>
    <row r="28" spans="2:8">
      <c r="B28" s="3">
        <v>46089</v>
      </c>
      <c r="C28" s="2" t="s">
        <v>28</v>
      </c>
      <c r="D28" s="2">
        <v>-216</v>
      </c>
      <c r="E28" s="2">
        <v>1</v>
      </c>
      <c r="F28" s="2">
        <f>D28*E28</f>
        <v>-216</v>
      </c>
      <c r="G28" s="2" t="s">
        <v>17</v>
      </c>
      <c r="H28" s="2">
        <f>F28</f>
        <v>-216</v>
      </c>
    </row>
    <row r="29" spans="2:8">
      <c r="B29" s="3">
        <v>46089</v>
      </c>
      <c r="C29" s="2" t="s">
        <v>29</v>
      </c>
      <c r="D29" s="2">
        <v>297</v>
      </c>
      <c r="E29" s="2">
        <v>1</v>
      </c>
      <c r="F29" s="2">
        <f>D29*E29</f>
        <v>297</v>
      </c>
      <c r="G29" s="2" t="s">
        <v>17</v>
      </c>
      <c r="H29" s="2">
        <f>F29 * 1.1</f>
        <v>326.70000000000005</v>
      </c>
    </row>
    <row r="30" spans="2:8">
      <c r="B30" s="3">
        <v>46089</v>
      </c>
      <c r="C30" s="2" t="s">
        <v>30</v>
      </c>
      <c r="D30" s="2">
        <v>538</v>
      </c>
      <c r="E30" s="2">
        <v>3</v>
      </c>
      <c r="F30" s="2">
        <f>D30*E30</f>
        <v>1614</v>
      </c>
      <c r="G30" s="2" t="s">
        <v>17</v>
      </c>
      <c r="H30" s="2">
        <f>F30 * 1.1</f>
        <v>1775.4</v>
      </c>
    </row>
    <row r="31" spans="2:8">
      <c r="B31" s="3">
        <v>46090</v>
      </c>
      <c r="C31" s="2" t="s">
        <v>46</v>
      </c>
      <c r="D31" s="2">
        <v>170</v>
      </c>
      <c r="E31" s="2">
        <v>156</v>
      </c>
      <c r="F31" s="2">
        <f>D31*E31</f>
        <v>26520</v>
      </c>
      <c r="G31" s="2" t="s">
        <v>47</v>
      </c>
      <c r="H31" s="2">
        <f>F31</f>
        <v>26520</v>
      </c>
    </row>
    <row r="32" spans="2:8">
      <c r="B32" s="3">
        <v>46095</v>
      </c>
      <c r="C32" s="2" t="s">
        <v>44</v>
      </c>
      <c r="D32" s="2">
        <v>2069</v>
      </c>
      <c r="E32" s="2">
        <v>1</v>
      </c>
      <c r="F32" s="2">
        <f>D32*E32</f>
        <v>2069</v>
      </c>
      <c r="G32" s="2" t="s">
        <v>45</v>
      </c>
      <c r="H32" s="2">
        <f>F32</f>
        <v>2069</v>
      </c>
    </row>
    <row r="33" spans="2:8">
      <c r="B33" s="3">
        <v>46096</v>
      </c>
      <c r="C33" s="2" t="s">
        <v>5</v>
      </c>
      <c r="D33" s="2">
        <v>2508</v>
      </c>
      <c r="E33" s="2">
        <v>1</v>
      </c>
      <c r="F33" s="2">
        <f>D33*E33</f>
        <v>2508</v>
      </c>
      <c r="G33" s="2" t="s">
        <v>31</v>
      </c>
      <c r="H33" s="2">
        <f>F33</f>
        <v>2508</v>
      </c>
    </row>
    <row r="34" spans="2:8">
      <c r="B34" s="3">
        <v>46096</v>
      </c>
      <c r="C34" s="2" t="s">
        <v>32</v>
      </c>
      <c r="D34" s="2">
        <v>3058</v>
      </c>
      <c r="E34" s="2">
        <v>1</v>
      </c>
      <c r="F34" s="2">
        <f>D34*E34</f>
        <v>3058</v>
      </c>
      <c r="G34" s="2" t="s">
        <v>31</v>
      </c>
      <c r="H34" s="2">
        <f>F34</f>
        <v>3058</v>
      </c>
    </row>
    <row r="35" spans="2:8">
      <c r="B35" s="3">
        <v>46096</v>
      </c>
      <c r="C35" s="2" t="s">
        <v>33</v>
      </c>
      <c r="D35" s="2">
        <v>822</v>
      </c>
      <c r="E35" s="2">
        <v>3</v>
      </c>
      <c r="F35" s="2">
        <f>D35*E35</f>
        <v>2466</v>
      </c>
      <c r="G35" s="2" t="s">
        <v>31</v>
      </c>
      <c r="H35" s="2">
        <f>F35</f>
        <v>2466</v>
      </c>
    </row>
    <row r="36" spans="2:8">
      <c r="B36" s="3">
        <v>46096</v>
      </c>
      <c r="C36" s="2" t="s">
        <v>34</v>
      </c>
      <c r="D36" s="2">
        <v>767</v>
      </c>
      <c r="E36" s="2">
        <v>1</v>
      </c>
      <c r="F36" s="2">
        <f>D36*E36</f>
        <v>767</v>
      </c>
      <c r="G36" s="2" t="s">
        <v>31</v>
      </c>
      <c r="H36" s="2">
        <f>F36</f>
        <v>767</v>
      </c>
    </row>
    <row r="37" spans="2:8">
      <c r="B37" s="3">
        <v>46096</v>
      </c>
      <c r="C37" s="2" t="s">
        <v>35</v>
      </c>
      <c r="D37" s="2">
        <v>602</v>
      </c>
      <c r="E37" s="2">
        <v>3</v>
      </c>
      <c r="F37" s="2">
        <f>D37*E37</f>
        <v>1806</v>
      </c>
      <c r="G37" s="2" t="s">
        <v>31</v>
      </c>
      <c r="H37" s="2">
        <f>F37</f>
        <v>1806</v>
      </c>
    </row>
    <row r="38" spans="2:8">
      <c r="B38" s="3">
        <v>46096</v>
      </c>
      <c r="C38" s="2" t="s">
        <v>36</v>
      </c>
      <c r="D38" s="2">
        <v>547</v>
      </c>
      <c r="E38" s="2">
        <v>1</v>
      </c>
      <c r="F38" s="2">
        <f>D38*E38</f>
        <v>547</v>
      </c>
      <c r="G38" s="2" t="s">
        <v>31</v>
      </c>
      <c r="H38" s="2">
        <f>F38</f>
        <v>547</v>
      </c>
    </row>
    <row r="39" spans="2:8">
      <c r="B39" s="3">
        <v>46101</v>
      </c>
      <c r="C39" s="2" t="s">
        <v>18</v>
      </c>
      <c r="D39" s="2">
        <v>718</v>
      </c>
      <c r="E39" s="2">
        <v>13</v>
      </c>
      <c r="F39" s="2">
        <f>D39*E39</f>
        <v>9334</v>
      </c>
      <c r="G39" s="2" t="s">
        <v>17</v>
      </c>
      <c r="H39" s="2">
        <f>F39 * 1.1</f>
        <v>10267.400000000001</v>
      </c>
    </row>
    <row r="40" spans="2:8">
      <c r="B40" s="3">
        <v>46101</v>
      </c>
      <c r="C40" s="2" t="s">
        <v>29</v>
      </c>
      <c r="D40" s="2">
        <v>297</v>
      </c>
      <c r="E40" s="2">
        <v>3</v>
      </c>
      <c r="F40" s="2">
        <f>D40*E40</f>
        <v>891</v>
      </c>
      <c r="G40" s="2" t="s">
        <v>17</v>
      </c>
      <c r="H40" s="2">
        <f>F40 * 1.1</f>
        <v>980.1</v>
      </c>
    </row>
    <row r="41" spans="2:8">
      <c r="B41" s="3">
        <v>46101</v>
      </c>
      <c r="C41" s="2" t="s">
        <v>37</v>
      </c>
      <c r="D41" s="2">
        <v>258</v>
      </c>
      <c r="E41" s="2">
        <v>1</v>
      </c>
      <c r="F41" s="2">
        <f>D41*E41</f>
        <v>258</v>
      </c>
      <c r="G41" s="2" t="s">
        <v>17</v>
      </c>
      <c r="H41" s="2">
        <f>F41 * 1.1</f>
        <v>283.8</v>
      </c>
    </row>
    <row r="42" spans="2:8">
      <c r="B42" s="3">
        <v>46101</v>
      </c>
      <c r="C42" s="2" t="s">
        <v>38</v>
      </c>
      <c r="D42" s="2">
        <v>178</v>
      </c>
      <c r="E42" s="2">
        <v>12</v>
      </c>
      <c r="F42" s="2">
        <f>D42*E42</f>
        <v>2136</v>
      </c>
      <c r="G42" s="2" t="s">
        <v>17</v>
      </c>
      <c r="H42" s="2">
        <f>F42 * 1.1</f>
        <v>2349.6000000000004</v>
      </c>
    </row>
    <row r="43" spans="2:8">
      <c r="B43" s="3">
        <v>46101</v>
      </c>
      <c r="C43" s="2" t="s">
        <v>43</v>
      </c>
      <c r="D43" s="2">
        <v>1050</v>
      </c>
      <c r="E43" s="2">
        <v>1</v>
      </c>
      <c r="F43" s="2">
        <f>D43*E43</f>
        <v>1050</v>
      </c>
      <c r="G43" s="2" t="s">
        <v>17</v>
      </c>
      <c r="H43" s="2">
        <f>F43 * 1.1</f>
        <v>1155</v>
      </c>
    </row>
    <row r="44" spans="2:8">
      <c r="B44" s="3">
        <v>46102</v>
      </c>
      <c r="C44" s="2" t="s">
        <v>5</v>
      </c>
      <c r="D44" s="2">
        <v>2728</v>
      </c>
      <c r="E44" s="2">
        <v>1</v>
      </c>
      <c r="F44" s="2">
        <f>D44*E44</f>
        <v>2728</v>
      </c>
      <c r="G44" s="2" t="s">
        <v>9</v>
      </c>
      <c r="H44" s="2">
        <f>F44</f>
        <v>2728</v>
      </c>
    </row>
    <row r="45" spans="2:8">
      <c r="B45" s="3">
        <v>46102</v>
      </c>
      <c r="C45" s="2" t="s">
        <v>6</v>
      </c>
      <c r="D45" s="2">
        <v>2728</v>
      </c>
      <c r="E45" s="2">
        <v>1</v>
      </c>
      <c r="F45" s="2">
        <f>D45*E45</f>
        <v>2728</v>
      </c>
      <c r="G45" s="2" t="s">
        <v>9</v>
      </c>
      <c r="H45" s="2">
        <f>F45</f>
        <v>2728</v>
      </c>
    </row>
    <row r="46" spans="2:8">
      <c r="B46" s="3">
        <v>46102</v>
      </c>
      <c r="C46" s="2" t="s">
        <v>7</v>
      </c>
      <c r="D46" s="2">
        <v>22000</v>
      </c>
      <c r="E46" s="2">
        <v>1</v>
      </c>
      <c r="F46" s="2">
        <f>D46*E46</f>
        <v>22000</v>
      </c>
      <c r="G46" s="2" t="s">
        <v>10</v>
      </c>
      <c r="H46" s="2">
        <f>F46</f>
        <v>22000</v>
      </c>
    </row>
    <row r="47" spans="2:8">
      <c r="B47" s="3">
        <v>46103</v>
      </c>
      <c r="C47" s="2" t="s">
        <v>39</v>
      </c>
      <c r="D47" s="2">
        <v>448</v>
      </c>
      <c r="E47" s="2">
        <v>1</v>
      </c>
      <c r="F47" s="2">
        <f>D47*E47</f>
        <v>448</v>
      </c>
      <c r="G47" s="2" t="s">
        <v>17</v>
      </c>
      <c r="H47" s="2">
        <f>F47 * 1.1</f>
        <v>492.80000000000007</v>
      </c>
    </row>
    <row r="48" spans="2:8">
      <c r="B48" s="3">
        <v>46103</v>
      </c>
      <c r="C48" s="2" t="s">
        <v>40</v>
      </c>
      <c r="D48" s="2">
        <v>998</v>
      </c>
      <c r="E48" s="2">
        <v>1</v>
      </c>
      <c r="F48" s="2">
        <f>D48*E48</f>
        <v>998</v>
      </c>
      <c r="G48" s="2" t="s">
        <v>17</v>
      </c>
      <c r="H48" s="2">
        <f>F48 * 1.1</f>
        <v>1097.8000000000002</v>
      </c>
    </row>
    <row r="49" spans="2:8">
      <c r="B49" s="3">
        <v>46103</v>
      </c>
      <c r="C49" s="2" t="s">
        <v>41</v>
      </c>
      <c r="D49" s="2">
        <v>848</v>
      </c>
      <c r="E49" s="2">
        <v>1</v>
      </c>
      <c r="F49" s="2">
        <f>D49*E49</f>
        <v>848</v>
      </c>
      <c r="G49" s="2" t="s">
        <v>17</v>
      </c>
      <c r="H49" s="2">
        <f>F49 * 1.1</f>
        <v>932.80000000000007</v>
      </c>
    </row>
    <row r="50" spans="2:8">
      <c r="B50" s="3">
        <v>46103</v>
      </c>
      <c r="C50" s="2" t="s">
        <v>42</v>
      </c>
      <c r="D50" s="2">
        <v>50</v>
      </c>
      <c r="E50" s="2">
        <v>1</v>
      </c>
      <c r="F50" s="2">
        <f>D50*E50</f>
        <v>50</v>
      </c>
      <c r="G50" s="2" t="s">
        <v>17</v>
      </c>
      <c r="H50" s="2">
        <f>F50 * 1.1</f>
        <v>55.000000000000007</v>
      </c>
    </row>
    <row r="52" spans="2:8">
      <c r="B52" t="s">
        <v>50</v>
      </c>
      <c r="C52" s="1">
        <f>SUM(H5:H50)</f>
        <v>134681.79999999999</v>
      </c>
    </row>
    <row r="53" spans="2:8" ht="54">
      <c r="C53" s="7" t="s">
        <v>53</v>
      </c>
    </row>
  </sheetData>
  <autoFilter ref="B4:H50" xr:uid="{00000000-0001-0000-0000-000000000000}">
    <sortState xmlns:xlrd2="http://schemas.microsoft.com/office/spreadsheetml/2017/richdata2" ref="B5:H50">
      <sortCondition ref="B4:B50"/>
    </sortState>
  </autoFilter>
  <phoneticPr fontId="1"/>
  <pageMargins left="0.7" right="0.7" top="0.75" bottom="0.75" header="0.3" footer="0.3"/>
  <pageSetup paperSize="9" scale="7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レシート合計</vt:lpstr>
      <vt:lpstr>全て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智之青木</dc:creator>
  <cp:lastModifiedBy>tomoyuki aoki</cp:lastModifiedBy>
  <cp:lastPrinted>2026-04-07T00:25:41Z</cp:lastPrinted>
  <dcterms:created xsi:type="dcterms:W3CDTF">2015-06-05T18:19:34Z</dcterms:created>
  <dcterms:modified xsi:type="dcterms:W3CDTF">2026-04-07T00:26:28Z</dcterms:modified>
</cp:coreProperties>
</file>